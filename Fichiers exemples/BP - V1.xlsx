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ntrées" sheetId="2" r:id="rId6"/>
    <sheet state="visible" name="Sorties" sheetId="3" r:id="rId7"/>
    <sheet state="visible" name="Prévisions" sheetId="4" r:id="rId8"/>
    <sheet state="visible" name="Tresorerie" sheetId="5" r:id="rId9"/>
    <sheet state="visible" name="Flux Journalier" sheetId="6" r:id="rId10"/>
    <sheet state="visible" name="Inventaire" sheetId="7" r:id="rId11"/>
    <sheet state="visible" name="CACHE GRAPH" sheetId="8" r:id="rId12"/>
    <sheet state="visible" name="CACHE" sheetId="9" r:id="rId13"/>
  </sheets>
  <definedNames>
    <definedName name="Matériel">CACHE!$A$2:$A$1001</definedName>
    <definedName name="Frais_Artistiques">CACHE!$D$2:$D$1001</definedName>
    <definedName name="Prestation_Tech">CACHE!$E$2:$E$1001</definedName>
    <definedName name="Frais_Fixes">CACHE!$B$2:$B$1001</definedName>
    <definedName name="Vente_Materiel">CACHE!$H$2:$H$1001</definedName>
    <definedName name="Frais_Techniques">CACHE!$C$2:$C$1001</definedName>
    <definedName hidden="1" localSheetId="1" name="_xlnm._FilterDatabase">'Entrées'!$A$1:$H$66</definedName>
  </definedNames>
  <calcPr/>
</workbook>
</file>

<file path=xl/sharedStrings.xml><?xml version="1.0" encoding="utf-8"?>
<sst xmlns="http://schemas.openxmlformats.org/spreadsheetml/2006/main" count="838" uniqueCount="332">
  <si>
    <t>TABLEAU DE BORD -- TRÉSORERIE DEJA VU</t>
  </si>
  <si>
    <t>Données calculées automatiquement à partir des journaux entrées, sorties et prévisions</t>
  </si>
  <si>
    <t>Solde Actuel (réel)</t>
  </si>
  <si>
    <t>Solde Projeté (réel + prev)</t>
  </si>
  <si>
    <t>Total Entrées Réelles</t>
  </si>
  <si>
    <t>Total Sorties Réelles</t>
  </si>
  <si>
    <t>Entrées Prévisionnelles</t>
  </si>
  <si>
    <t>Sorties Prévisionnelles</t>
  </si>
  <si>
    <t>▶  SYNTHÈSE MENSUELLE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</si>
  <si>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</si>
  <si>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</si>
  <si>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</si>
  <si>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</si>
  <si>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</si>
  <si>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</si>
  <si>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</si>
  <si>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</si>
  <si>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</si>
  <si>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</si>
  <si>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</si>
  <si>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</si>
  <si>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TOTAL</t>
  </si>
  <si>
    <t>DÉPENSES RÉELLES</t>
  </si>
  <si>
    <t>ENTRÉES RÉELLES</t>
  </si>
  <si>
    <t>RÉSULTAT NET RÉEL</t>
  </si>
  <si>
    <t>SOLDE RÉEL CUMULÉ</t>
  </si>
  <si>
    <t>TOTAL DÉPENSES PRÉV</t>
  </si>
  <si>
    <t>TOTAL ENTRÉES PRÉV</t>
  </si>
  <si>
    <t>SOLDE PROJETÉ CUMULÉ</t>
  </si>
  <si>
    <t>ALERTE SOLVABILITÉ</t>
  </si>
  <si>
    <t>▶  ALERTE DÉCOUVERT PAR MOIS (solde journalier réel)</t>
  </si>
  <si>
    <t>Jan</t>
  </si>
  <si>
    <t>Fév</t>
  </si>
  <si>
    <t>Mar</t>
  </si>
  <si>
    <t>Avr</t>
  </si>
  <si>
    <t>Juil</t>
  </si>
  <si>
    <t>Aoû</t>
  </si>
  <si>
    <t>Sep</t>
  </si>
  <si>
    <t>Oct</t>
  </si>
  <si>
    <t>Nov</t>
  </si>
  <si>
    <t>Déc</t>
  </si>
  <si>
    <t>Bilan</t>
  </si>
  <si>
    <t>Risque découvert intra-mois</t>
  </si>
  <si>
    <t xml:space="preserve"> </t>
  </si>
  <si>
    <t>Date</t>
  </si>
  <si>
    <t>Dénomination</t>
  </si>
  <si>
    <t>Type</t>
  </si>
  <si>
    <t>Spécification</t>
  </si>
  <si>
    <t>Facture</t>
  </si>
  <si>
    <t>Effectué par</t>
  </si>
  <si>
    <t>Montant TTC</t>
  </si>
  <si>
    <t>Notes</t>
  </si>
  <si>
    <t>Acompte Soirée Supaero</t>
  </si>
  <si>
    <t>Prestation_Tech</t>
  </si>
  <si>
    <t>Location de matériel</t>
  </si>
  <si>
    <t>AE Supaero</t>
  </si>
  <si>
    <t>Solde Soirée Supaero + Facture additionelle</t>
  </si>
  <si>
    <t>Location Matos AAW</t>
  </si>
  <si>
    <t>AAW</t>
  </si>
  <si>
    <t>Remboursement Emmetteur/recepteur HDMI Amazon</t>
  </si>
  <si>
    <t>Remboursement</t>
  </si>
  <si>
    <t>Amazon</t>
  </si>
  <si>
    <t>Paiement AAW</t>
  </si>
  <si>
    <t>Presta AFTER WINTER</t>
  </si>
  <si>
    <t>LAFTER</t>
  </si>
  <si>
    <t>Recette RELEASE</t>
  </si>
  <si>
    <t>Recettes_Evenement</t>
  </si>
  <si>
    <t>Recettes Evenement</t>
  </si>
  <si>
    <t>Shotgun</t>
  </si>
  <si>
    <t>Coût TTC</t>
  </si>
  <si>
    <t>Prozic</t>
  </si>
  <si>
    <t>Matériel</t>
  </si>
  <si>
    <t>Achat de matériel</t>
  </si>
  <si>
    <t>2026-01-07 Prozic.pdf</t>
  </si>
  <si>
    <t>Léo Delmas</t>
  </si>
  <si>
    <t>Maif</t>
  </si>
  <si>
    <t>Frais_Fixes</t>
  </si>
  <si>
    <t>Assurance</t>
  </si>
  <si>
    <t>2026-01-09 Maif.pdf</t>
  </si>
  <si>
    <t>Abo Google One</t>
  </si>
  <si>
    <t>Google Drive</t>
  </si>
  <si>
    <t>2026-01-16 Prozic.pdf</t>
  </si>
  <si>
    <t>License Pangolin</t>
  </si>
  <si>
    <t>2026-01-17 Pangolin.pdf</t>
  </si>
  <si>
    <t>Frais location license Beyond</t>
  </si>
  <si>
    <t>Frais Bancaires</t>
  </si>
  <si>
    <t>2026-01-17 Frais Qonto.pdf</t>
  </si>
  <si>
    <t>Audiotec</t>
  </si>
  <si>
    <t>2026-01-19 Audiotec.pdf</t>
  </si>
  <si>
    <t>Carrefour</t>
  </si>
  <si>
    <t>Frais_Techniques</t>
  </si>
  <si>
    <t>Transport</t>
  </si>
  <si>
    <t>Action</t>
  </si>
  <si>
    <t>2026-01-22 Action.HEIC</t>
  </si>
  <si>
    <t>2026-01-22 Audiotec.pdf</t>
  </si>
  <si>
    <t>th.trinquier@gmail.com</t>
  </si>
  <si>
    <t>NDF Théo Trinquier</t>
  </si>
  <si>
    <t>2026-01-23 Prozic.pdf</t>
  </si>
  <si>
    <t>Vinci autoroute péage</t>
  </si>
  <si>
    <t>2026-01-26 Audiotec.pdf</t>
  </si>
  <si>
    <t>NDF Léo Delmas</t>
  </si>
  <si>
    <t>Thomann</t>
  </si>
  <si>
    <t>2026-02-15 Thomann.pdf</t>
  </si>
  <si>
    <t>Frais</t>
  </si>
  <si>
    <t>Techniciens</t>
  </si>
  <si>
    <t>Tissus plus</t>
  </si>
  <si>
    <t>Bricoman</t>
  </si>
  <si>
    <t>Acompte DA Momo</t>
  </si>
  <si>
    <t>Frais_Artistiques</t>
  </si>
  <si>
    <t>DA/Graphiste</t>
  </si>
  <si>
    <t>Tshirts Baless</t>
  </si>
  <si>
    <t>2026-04-03 Baless.pdf</t>
  </si>
  <si>
    <t>Pub insta</t>
  </si>
  <si>
    <t>Communication</t>
  </si>
  <si>
    <t>Bizay Stickers</t>
  </si>
  <si>
    <t>Bizay Flyers</t>
  </si>
  <si>
    <t>Booking Hora</t>
  </si>
  <si>
    <t>Booking DJ</t>
  </si>
  <si>
    <t>Tunnel post</t>
  </si>
  <si>
    <t>Le chorus</t>
  </si>
  <si>
    <t>Salle</t>
  </si>
  <si>
    <t>Solde DA Momo</t>
  </si>
  <si>
    <t>0</t>
  </si>
  <si>
    <t>E / S</t>
  </si>
  <si>
    <t>Lien</t>
  </si>
  <si>
    <t>NDF Théo chorus</t>
  </si>
  <si>
    <t>Théo Trinquier</t>
  </si>
  <si>
    <t>Sortie</t>
  </si>
  <si>
    <t>Flight case CDJ3000X</t>
  </si>
  <si>
    <t>Peinture caissons</t>
  </si>
  <si>
    <t>Complement caissons + roulettes</t>
  </si>
  <si>
    <t>Flight case Grandma</t>
  </si>
  <si>
    <t>corentin.lamontagne@safrangroup.com</t>
  </si>
  <si>
    <t>400€ Avance par Corentin</t>
  </si>
  <si>
    <t>Trajet caisson</t>
  </si>
  <si>
    <t>Local Florian</t>
  </si>
  <si>
    <t>Local</t>
  </si>
  <si>
    <t>Coût à définir</t>
  </si>
  <si>
    <t>FDM</t>
  </si>
  <si>
    <t>Location Libanais FDM</t>
  </si>
  <si>
    <t>Entrée</t>
  </si>
  <si>
    <t>Location audiotec Libanais</t>
  </si>
  <si>
    <t>After Summer</t>
  </si>
  <si>
    <t>Chariot pout passe-cable</t>
  </si>
  <si>
    <t>Corentin Lamontagne</t>
  </si>
  <si>
    <t>Estimation de coût incertaine (surement moins cher)</t>
  </si>
  <si>
    <t>Local Tao</t>
  </si>
  <si>
    <t>Presta Laser Flo</t>
  </si>
  <si>
    <t>Remboursement NDF Léo</t>
  </si>
  <si>
    <t>1er pack tubes leds, loca camion, achat matériel divers...</t>
  </si>
  <si>
    <t>Remboursement NDF Coco</t>
  </si>
  <si>
    <t>Remboursement NDF Theo</t>
  </si>
  <si>
    <t>BBF Acompte</t>
  </si>
  <si>
    <t>Briteq BT Faze 7500</t>
  </si>
  <si>
    <t>A discuter + ROI à faire</t>
  </si>
  <si>
    <t>Loyer Local</t>
  </si>
  <si>
    <t>BBF Solde</t>
  </si>
  <si>
    <t>4 barres beam</t>
  </si>
  <si>
    <t>Flightcase barre beam</t>
  </si>
  <si>
    <t>Acompte Gala Supaero</t>
  </si>
  <si>
    <t>Était estimé à 9000€</t>
  </si>
  <si>
    <t>24 Tubes leds</t>
  </si>
  <si>
    <t>Ampli top + cables</t>
  </si>
  <si>
    <t>3 praticables</t>
  </si>
  <si>
    <t>Voir reventes Audiotec, ou occaz</t>
  </si>
  <si>
    <t>NDF Flight case Grandma</t>
  </si>
  <si>
    <t>Avance par Corentin</t>
  </si>
  <si>
    <t>Midas DL32</t>
  </si>
  <si>
    <t>Solde Gala Supaero</t>
  </si>
  <si>
    <t>Xone 96</t>
  </si>
  <si>
    <t>ROI à faire</t>
  </si>
  <si>
    <t>Structure 8m</t>
  </si>
  <si>
    <t>Moteurs</t>
  </si>
  <si>
    <t>A discuter + vérifier les réglementation liées + ROI à faire</t>
  </si>
  <si>
    <t>angle 135</t>
  </si>
  <si>
    <t>https://www.leboncoin.fr/ad/photo_audio_video/2916041862</t>
  </si>
  <si>
    <t>RÉCAPITULATIF DE TRÉSORERIE – VUE MENSUELLE</t>
  </si>
  <si>
    <t xml:space="preserve">Année : </t>
  </si>
  <si>
    <t>Solde Init (€) :</t>
  </si>
  <si>
    <t>POSTE</t>
  </si>
  <si>
    <t>Total
Annuel</t>
  </si>
  <si>
    <t>▶  DÉPENSES RÉELLES</t>
  </si>
  <si>
    <t xml:space="preserve">  Matériel</t>
  </si>
  <si>
    <t>Frais Entretien</t>
  </si>
  <si>
    <t xml:space="preserve">  Frais Fixes</t>
  </si>
  <si>
    <t>Frais IT</t>
  </si>
  <si>
    <t>Site Internet</t>
  </si>
  <si>
    <t xml:space="preserve">  Frais Technique</t>
  </si>
  <si>
    <t xml:space="preserve">  Frais Artistiques</t>
  </si>
  <si>
    <t>Photographe/Vidéaste</t>
  </si>
  <si>
    <t xml:space="preserve">TOTAL DÉPENSES </t>
  </si>
  <si>
    <t>▶  ENTRÉES RÉELLES</t>
  </si>
  <si>
    <t xml:space="preserve">  Prestation Technique</t>
  </si>
  <si>
    <t xml:space="preserve">  Vente de matériel</t>
  </si>
  <si>
    <t>Vente de matériel</t>
  </si>
  <si>
    <t xml:space="preserve">  Recette Evenement</t>
  </si>
  <si>
    <t xml:space="preserve">  Remboursement</t>
  </si>
  <si>
    <t>TOTAL  ENTRÉES</t>
  </si>
  <si>
    <t>▶  PRÉVISIONNEL</t>
  </si>
  <si>
    <t>▶  SORTIES PRÉV</t>
  </si>
  <si>
    <t>▶  ENTRÉES PRÉV</t>
  </si>
  <si>
    <t xml:space="preserve">  RÉSULTAT PRÉVISIONNEL MENSUEL</t>
  </si>
  <si>
    <t>▶  VISION GLOBAL (réel + prév)</t>
  </si>
  <si>
    <t xml:space="preserve">  Total entrées (réel + prév.)</t>
  </si>
  <si>
    <t xml:space="preserve">  Total dépenses (réel + prév.)</t>
  </si>
  <si>
    <t xml:space="preserve">  Résultat net global mensuel</t>
  </si>
  <si>
    <t xml:space="preserve">  SOLDE PROJETÉ CUMULÉ</t>
  </si>
  <si>
    <t>⚠  ALERTE DÉCOUVERT</t>
  </si>
  <si>
    <t>FLUX JOURNALIER – DÉTECTION DES PASSAGES EN NÉGATIF</t>
  </si>
  <si>
    <t>Le solde cumulé est recalculé chaque jour à partir des opérations réelles saisies dans les journaux. Les lignes en ROUGE signalent un solde négatif = risque de découvert bancaire.</t>
  </si>
  <si>
    <t>Seuil d'alerte (€) :</t>
  </si>
  <si>
    <t>← Montant en dessous duquel l'alerte se déclenche</t>
  </si>
  <si>
    <t>Jour</t>
  </si>
  <si>
    <t>Entrées réelles (€)</t>
  </si>
  <si>
    <t>Entrées prévisionnelles (€)</t>
  </si>
  <si>
    <t>Dépenses réelles (€)</t>
  </si>
  <si>
    <t>Dépenses prévisionnelles (€)</t>
  </si>
  <si>
    <t>Flux net du jour (€)</t>
  </si>
  <si>
    <t>SOLDE CUMULÉ (€)</t>
  </si>
  <si>
    <t>Statut</t>
  </si>
  <si>
    <t>▶  SYNTHÈSE ANNUELLE DES RISQUES</t>
  </si>
  <si>
    <t>Nombre de jours en découvert</t>
  </si>
  <si>
    <t>Nombre de jours en alerte ⚡</t>
  </si>
  <si>
    <t>Solde minimum atteint (€)</t>
  </si>
  <si>
    <t>Solde maximum atteint (€)</t>
  </si>
  <si>
    <t>Solde moyen sur l'année (€)</t>
  </si>
  <si>
    <t>Solde final (31 déc.) (€)</t>
  </si>
  <si>
    <t>Référence</t>
  </si>
  <si>
    <t>Quantité</t>
  </si>
  <si>
    <t>Prix achat</t>
  </si>
  <si>
    <t>Prix Location</t>
  </si>
  <si>
    <t>LIGHTS</t>
  </si>
  <si>
    <t>Laser 10W OPT</t>
  </si>
  <si>
    <t>818.09€</t>
  </si>
  <si>
    <t>769.36€</t>
  </si>
  <si>
    <t>Blinder 2 Eyes</t>
  </si>
  <si>
    <t>88.41€</t>
  </si>
  <si>
    <t>68.41€</t>
  </si>
  <si>
    <t>PAR 18x18</t>
  </si>
  <si>
    <t>82.16€</t>
  </si>
  <si>
    <t>Fos Tornado pro</t>
  </si>
  <si>
    <t>570.00€</t>
  </si>
  <si>
    <t>Shehds 10R</t>
  </si>
  <si>
    <t>452.39€</t>
  </si>
  <si>
    <t>397.23€</t>
  </si>
  <si>
    <t>Shehds 19x15</t>
  </si>
  <si>
    <t>311.21€</t>
  </si>
  <si>
    <t>280.40€</t>
  </si>
  <si>
    <t>Shehds bar 12x40W</t>
  </si>
  <si>
    <t>439.76€</t>
  </si>
  <si>
    <t>CONSOLE LIGHT</t>
  </si>
  <si>
    <t>APC MINI MKII</t>
  </si>
  <si>
    <t>95.00€</t>
  </si>
  <si>
    <t>Sunlite EC</t>
  </si>
  <si>
    <t>419.00€</t>
  </si>
  <si>
    <t>Extension sunlite</t>
  </si>
  <si>
    <t>Boitier FB4</t>
  </si>
  <si>
    <t>682.50€</t>
  </si>
  <si>
    <t>Estop</t>
  </si>
  <si>
    <t>27.30€</t>
  </si>
  <si>
    <t>641.85€</t>
  </si>
  <si>
    <t>Rallonges</t>
  </si>
  <si>
    <t>Touret 30m renf</t>
  </si>
  <si>
    <t>Rallonges 10m renf</t>
  </si>
  <si>
    <t>Rallonges 5m</t>
  </si>
  <si>
    <t>Rallonges 5m double</t>
  </si>
  <si>
    <t>Multiprise 5p</t>
  </si>
  <si>
    <t>Multiprise 5p renf</t>
  </si>
  <si>
    <t>Multiprise triplette</t>
  </si>
  <si>
    <t>Multiprises</t>
  </si>
  <si>
    <t>Armoires Electrique</t>
  </si>
  <si>
    <t>Armoire T32A</t>
  </si>
  <si>
    <t xml:space="preserve">Armoire T16A </t>
  </si>
  <si>
    <t>Structure</t>
  </si>
  <si>
    <t>Pieds laser avec sacoche</t>
  </si>
  <si>
    <t>Crochets BC50B-150F</t>
  </si>
  <si>
    <t>Elingue</t>
  </si>
  <si>
    <t>Passe câbles 1m</t>
  </si>
  <si>
    <t>CABLE DMX</t>
  </si>
  <si>
    <t>Touret</t>
  </si>
  <si>
    <t>15.90€</t>
  </si>
  <si>
    <t>RJ45 cat 6e 75m</t>
  </si>
  <si>
    <t>48.30€</t>
  </si>
  <si>
    <t>RJ45 cat 6e 10m</t>
  </si>
  <si>
    <t>6.80€</t>
  </si>
  <si>
    <t>RJ45 DMX Split Box FX4</t>
  </si>
  <si>
    <t>24.90€</t>
  </si>
  <si>
    <t>RJ45 DMX Shuttle Snake MX4</t>
  </si>
  <si>
    <t>39.00€</t>
  </si>
  <si>
    <t>1m hybride</t>
  </si>
  <si>
    <t>14.72€</t>
  </si>
  <si>
    <t>2m hybride</t>
  </si>
  <si>
    <t>20.52€</t>
  </si>
  <si>
    <t>3m hybride</t>
  </si>
  <si>
    <t>26.32€</t>
  </si>
  <si>
    <t>1m simple</t>
  </si>
  <si>
    <t>9.22€</t>
  </si>
  <si>
    <t>2m simple</t>
  </si>
  <si>
    <t>11.02€</t>
  </si>
  <si>
    <t>3m simple</t>
  </si>
  <si>
    <t>12.82€</t>
  </si>
  <si>
    <t>4m simple</t>
  </si>
  <si>
    <t>14.62€</t>
  </si>
  <si>
    <t>6m simple</t>
  </si>
  <si>
    <t>18.22€</t>
  </si>
  <si>
    <t>10m simple</t>
  </si>
  <si>
    <t>25.42€</t>
  </si>
  <si>
    <t>20m simple</t>
  </si>
  <si>
    <t>43.42€</t>
  </si>
  <si>
    <t>CABLE Laser</t>
  </si>
  <si>
    <t>1m ilda</t>
  </si>
  <si>
    <t>5.46€</t>
  </si>
  <si>
    <t>5m ilda</t>
  </si>
  <si>
    <t>9.10€</t>
  </si>
  <si>
    <t>10m ilda</t>
  </si>
  <si>
    <t>13.65€</t>
  </si>
  <si>
    <t>30m RJ</t>
  </si>
  <si>
    <t>10.92€</t>
  </si>
  <si>
    <t>5m RJ</t>
  </si>
  <si>
    <t>1.82€</t>
  </si>
  <si>
    <t>Flight Case</t>
  </si>
  <si>
    <t>Enceintes</t>
  </si>
  <si>
    <t>RCF ART-910A
Enceinte – Débouche Front Fill</t>
  </si>
  <si>
    <t>Yamaha S115v</t>
  </si>
  <si>
    <t>Ampli / Processing</t>
  </si>
  <si>
    <t>Yamaha P5000S</t>
  </si>
  <si>
    <t>Midas M32</t>
  </si>
  <si>
    <t>Dépenses</t>
  </si>
  <si>
    <t>Recettes</t>
  </si>
  <si>
    <t>Prévisions</t>
  </si>
  <si>
    <t>Vente_Materiel</t>
  </si>
  <si>
    <t>Vente de Materiel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</si>
</sst>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0\ [$€-1]"/>
    <numFmt numFmtId="165" formatCode="dd/MM/yyyy"/>
    <numFmt numFmtId="166" formatCode="dd/mm/yyyy"/>
    <numFmt numFmtId="167" formatCode="MMMM"/>
    <numFmt numFmtId="168" formatCode="#,##0.## €;- #,##0.## €;&quot;-&quot;"/>
    <numFmt numFmtId="169" formatCode="€#,##0;(€#,##0);&quot;-&quot;"/>
    <numFmt numFmtId="170" formatCode="DD/MM/YYYY"/>
    <numFmt numFmtId="171" formatCode="#,##0.00 €;- #,##0.00 €;&quot;-&quot;"/>
    <numFmt numFmtId="172" formatCode="#,##0.00[$€]"/>
  </numFmts>
  <fonts count="59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i/>
      <sz val="10.0"/>
      <color rgb="FF434343"/>
      <name val="Arial"/>
      <scheme val="minor"/>
    </font>
    <font>
      <sz val="10.0"/>
      <color theme="1"/>
      <name val="Arial"/>
    </font>
    <font>
      <b/>
      <sz val="11.0"/>
      <color rgb="FFFFFFFF"/>
      <name val="Arial"/>
      <scheme val="minor"/>
    </font>
    <font/>
    <font>
      <sz val="11.0"/>
      <color theme="1"/>
      <name val="Arial"/>
      <scheme val="minor"/>
    </font>
    <font>
      <b/>
      <sz val="11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9.0"/>
      <color theme="1"/>
      <name val="Arial"/>
    </font>
    <font>
      <b/>
      <sz val="10.0"/>
      <color rgb="FFC0392B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434343"/>
      <name val="Arial"/>
      <scheme val="minor"/>
    </font>
    <font>
      <b/>
      <color rgb="FFFFFFFF"/>
      <name val="Roboto"/>
    </font>
    <font>
      <color theme="1"/>
      <name val="Arial"/>
    </font>
    <font>
      <color rgb="FF434343"/>
      <name val="Roboto"/>
    </font>
    <font>
      <u/>
      <color theme="1"/>
      <name val="Arial"/>
      <scheme val="minor"/>
    </font>
    <font>
      <color rgb="FF11734B"/>
      <name val="Arial"/>
    </font>
    <font>
      <color rgb="FF434343"/>
      <name val="Arial"/>
    </font>
    <font>
      <u/>
      <color rgb="FF434343"/>
      <name val="Roboto"/>
    </font>
    <font>
      <color rgb="FF11734B"/>
      <name val="Roboto"/>
    </font>
    <font>
      <u/>
      <color theme="1"/>
      <name val="Arial"/>
      <scheme val="minor"/>
    </font>
    <font>
      <u/>
      <color rgb="FF0000FF"/>
      <name val="Roboto"/>
    </font>
    <font>
      <b/>
      <sz val="12.0"/>
      <color rgb="FFFFFFFF"/>
      <name val="Arial"/>
    </font>
    <font>
      <b/>
      <sz val="10.0"/>
      <color rgb="FF0000FF"/>
      <name val="Arial"/>
    </font>
    <font>
      <b/>
      <sz val="10.0"/>
      <color theme="5"/>
      <name val="Arial"/>
    </font>
    <font>
      <sz val="10.0"/>
      <color rgb="FFFFFFFF"/>
      <name val="Arial"/>
    </font>
    <font>
      <sz val="10.0"/>
      <color theme="7"/>
      <name val="Arial"/>
    </font>
    <font>
      <b/>
      <sz val="10.0"/>
      <color theme="7"/>
      <name val="Arial"/>
    </font>
    <font>
      <b/>
      <sz val="10.0"/>
      <color theme="8"/>
      <name val="Arial"/>
    </font>
    <font>
      <b/>
      <sz val="13.0"/>
      <color rgb="FFFFFFFF"/>
      <name val="Arial"/>
    </font>
    <font>
      <color rgb="FFFFFFFF"/>
      <name val="Arial"/>
      <scheme val="minor"/>
    </font>
    <font>
      <i/>
      <sz val="10.0"/>
      <color rgb="FF4A4A4A"/>
      <name val="Arial"/>
    </font>
    <font>
      <i/>
      <sz val="10.0"/>
      <color rgb="FF555555"/>
      <name val="Arial"/>
    </font>
    <font>
      <sz val="10.0"/>
      <color rgb="FF777777"/>
      <name val="Arial"/>
    </font>
    <font>
      <sz val="10.0"/>
      <color rgb="FF000000"/>
      <name val="Arial"/>
    </font>
    <font>
      <b/>
      <sz val="9.0"/>
      <color rgb="FFC0392B"/>
      <name val="Arial"/>
    </font>
    <font>
      <b/>
      <sz val="11.0"/>
      <color rgb="FFC0392B"/>
      <name val="Arial"/>
    </font>
    <font>
      <b/>
      <sz val="9.0"/>
      <color rgb="FFD35400"/>
      <name val="Arial"/>
    </font>
    <font>
      <b/>
      <sz val="11.0"/>
      <color rgb="FFD35400"/>
      <name val="Arial"/>
    </font>
    <font>
      <b/>
      <sz val="9.0"/>
      <color rgb="FF1E8449"/>
      <name val="Arial"/>
    </font>
    <font>
      <b/>
      <sz val="11.0"/>
      <color rgb="FF1E8449"/>
      <name val="Arial"/>
    </font>
    <font>
      <b/>
      <sz val="9.0"/>
      <color rgb="FF0F3460"/>
      <name val="Arial"/>
    </font>
    <font>
      <b/>
      <sz val="11.0"/>
      <color rgb="FF0F3460"/>
      <name val="Arial"/>
    </font>
    <font>
      <b/>
      <sz val="9.0"/>
      <color rgb="FF533483"/>
      <name val="Arial"/>
    </font>
    <font>
      <b/>
      <sz val="11.0"/>
      <color rgb="FF533483"/>
      <name val="Arial"/>
    </font>
    <font>
      <b/>
      <sz val="11.0"/>
      <color rgb="FFFF0000"/>
      <name val="Arial"/>
      <scheme val="minor"/>
    </font>
    <font>
      <b/>
      <sz val="11.0"/>
      <color rgb="FF00FF00"/>
      <name val="Arial"/>
      <scheme val="minor"/>
    </font>
    <font>
      <b/>
      <sz val="11.0"/>
      <color rgb="FFFF9900"/>
      <name val="Arial"/>
      <scheme val="minor"/>
    </font>
    <font>
      <b/>
      <color theme="1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1155CC"/>
        <bgColor rgb="FF1155CC"/>
      </patternFill>
    </fill>
    <fill>
      <patternFill patternType="solid">
        <fgColor rgb="FF351C75"/>
        <bgColor rgb="FF351C75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rgb="FFEA4335"/>
        <bgColor rgb="FFEA4335"/>
      </patternFill>
    </fill>
    <fill>
      <patternFill patternType="solid">
        <fgColor rgb="FFF4CCCC"/>
        <bgColor rgb="FFF4CCCC"/>
      </patternFill>
    </fill>
    <fill>
      <patternFill patternType="solid">
        <fgColor rgb="FFC6E6CE"/>
        <bgColor rgb="FFC6E6CE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E2CD"/>
        <bgColor rgb="FFFFE2CD"/>
      </patternFill>
    </fill>
    <fill>
      <patternFill patternType="solid">
        <fgColor rgb="FFD9D2E9"/>
        <bgColor rgb="FFD9D2E9"/>
      </patternFill>
    </fill>
    <fill>
      <patternFill patternType="solid">
        <fgColor rgb="FF6C3483"/>
        <bgColor rgb="FF6C3483"/>
      </patternFill>
    </fill>
    <fill>
      <patternFill patternType="solid">
        <fgColor rgb="FF1A1A2E"/>
        <bgColor rgb="FF1A1A2E"/>
      </patternFill>
    </fill>
    <fill>
      <patternFill patternType="solid">
        <fgColor rgb="FFF5F5F5"/>
        <bgColor rgb="FFF5F5F5"/>
      </patternFill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8AD1AF"/>
        <bgColor rgb="FF8AD1AF"/>
      </patternFill>
    </fill>
    <fill>
      <patternFill patternType="solid">
        <fgColor rgb="FFFFA059"/>
        <bgColor rgb="FFFFA059"/>
      </patternFill>
    </fill>
    <fill>
      <patternFill patternType="solid">
        <fgColor rgb="FFDAA610"/>
        <bgColor rgb="FFDAA610"/>
      </patternFill>
    </fill>
    <fill>
      <patternFill patternType="solid">
        <fgColor rgb="FF674EA7"/>
        <bgColor rgb="FF674EA7"/>
      </patternFill>
    </fill>
    <fill>
      <patternFill patternType="solid">
        <fgColor rgb="FFF3E6FF"/>
        <bgColor rgb="FFF3E6FF"/>
      </patternFill>
    </fill>
    <fill>
      <patternFill patternType="solid">
        <fgColor rgb="FF0F3460"/>
        <bgColor rgb="FF0F3460"/>
      </patternFill>
    </fill>
    <fill>
      <patternFill patternType="solid">
        <fgColor rgb="FFEBEBEB"/>
        <bgColor rgb="FFEBEBEB"/>
      </patternFill>
    </fill>
    <fill>
      <patternFill patternType="solid">
        <fgColor rgb="FFEBF5FB"/>
        <bgColor rgb="FFEBF5FB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5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73763"/>
      </left>
      <top style="thin">
        <color rgb="FF073763"/>
      </top>
      <bottom style="thin">
        <color rgb="FF073763"/>
      </bottom>
    </border>
    <border>
      <right style="thin">
        <color rgb="FF073763"/>
      </right>
      <top style="thin">
        <color rgb="FF073763"/>
      </top>
      <bottom style="thin">
        <color rgb="FF073763"/>
      </bottom>
    </border>
    <border>
      <left style="medium">
        <color rgb="FF073763"/>
      </left>
      <right style="medium">
        <color rgb="FF073763"/>
      </right>
      <top style="medium">
        <color rgb="FF073763"/>
      </top>
      <bottom style="medium">
        <color rgb="FF07376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000000"/>
      </right>
      <bottom style="medium">
        <color rgb="FF000000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B0741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0741A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medium">
        <color rgb="FF000000"/>
      </lef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medium">
        <color rgb="FF073763"/>
      </bottom>
    </border>
    <border>
      <right style="thin">
        <color rgb="FF073763"/>
      </right>
    </border>
    <border>
      <left style="thin">
        <color rgb="FF073763"/>
      </left>
      <right style="thin">
        <color rgb="FF073763"/>
      </right>
    </border>
    <border>
      <left style="thin">
        <color rgb="FF073763"/>
      </left>
    </border>
    <border>
      <left style="medium">
        <color rgb="FF073763"/>
      </left>
      <right style="medium">
        <color rgb="FF073763"/>
      </right>
      <top style="medium">
        <color rgb="FF073763"/>
      </top>
    </border>
    <border>
      <top style="medium">
        <color rgb="FF073763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73763"/>
      </left>
      <right style="medium">
        <color rgb="FF073763"/>
      </right>
      <top style="medium">
        <color rgb="FF073763"/>
      </top>
      <bottom style="medium">
        <color rgb="FF000000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BDBDBD"/>
      </right>
      <top style="thin">
        <color rgb="FFBDBDBD"/>
      </top>
      <bottom style="thin">
        <color rgb="FFBDBDBD"/>
      </bottom>
    </border>
    <border>
      <bottom style="thin">
        <color rgb="FFFFFFFF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thin">
        <color rgb="FFFFFFFF"/>
      </left>
      <top style="thin">
        <color rgb="FFFFFFFF"/>
      </top>
    </border>
    <border>
      <left style="medium">
        <color rgb="FF000000"/>
      </left>
      <bottom style="thin">
        <color rgb="FFFFFFFF"/>
      </bottom>
    </border>
    <border>
      <left/>
      <bottom/>
    </border>
    <border>
      <bottom/>
    </border>
    <border>
      <right/>
      <bottom/>
    </border>
    <border>
      <left style="medium">
        <color rgb="FF888888"/>
      </lef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vertical="center"/>
    </xf>
    <xf borderId="1" fillId="0" fontId="4" numFmtId="0" xfId="0" applyAlignment="1" applyBorder="1" applyFont="1">
      <alignment vertical="center"/>
    </xf>
    <xf borderId="0" fillId="2" fontId="2" numFmtId="0" xfId="0" applyFont="1"/>
    <xf borderId="2" fillId="5" fontId="5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2" fillId="6" fontId="5" numFmtId="0" xfId="0" applyAlignment="1" applyBorder="1" applyFill="1" applyFont="1">
      <alignment horizontal="center" readingOrder="0" vertical="center"/>
    </xf>
    <xf borderId="2" fillId="7" fontId="5" numFmtId="0" xfId="0" applyAlignment="1" applyBorder="1" applyFill="1" applyFont="1">
      <alignment horizontal="center" readingOrder="0" vertical="center"/>
    </xf>
    <xf borderId="2" fillId="8" fontId="5" numFmtId="0" xfId="0" applyAlignment="1" applyBorder="1" applyFill="1" applyFont="1">
      <alignment horizontal="center" readingOrder="0" vertical="center"/>
    </xf>
    <xf borderId="2" fillId="9" fontId="5" numFmtId="0" xfId="0" applyAlignment="1" applyBorder="1" applyFill="1" applyFont="1">
      <alignment horizontal="center" readingOrder="0" vertical="center"/>
    </xf>
    <xf borderId="0" fillId="2" fontId="7" numFmtId="0" xfId="0" applyFont="1"/>
    <xf borderId="2" fillId="0" fontId="8" numFmtId="164" xfId="0" applyAlignment="1" applyBorder="1" applyFont="1" applyNumberFormat="1">
      <alignment horizontal="center" vertical="center"/>
    </xf>
    <xf borderId="0" fillId="2" fontId="9" numFmtId="0" xfId="0" applyAlignment="1" applyFont="1">
      <alignment horizontal="left" readingOrder="0" vertical="center"/>
    </xf>
    <xf borderId="0" fillId="3" fontId="10" numFmtId="0" xfId="0" applyAlignment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4" fillId="3" fontId="11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0" fillId="10" fontId="12" numFmtId="0" xfId="0" applyAlignment="1" applyFill="1" applyFont="1">
      <alignment horizontal="left" readingOrder="0" vertical="center"/>
    </xf>
    <xf borderId="0" fillId="11" fontId="13" numFmtId="164" xfId="0" applyAlignment="1" applyFill="1" applyFont="1" applyNumberFormat="1">
      <alignment horizontal="center" readingOrder="0" vertical="center"/>
    </xf>
    <xf borderId="4" fillId="11" fontId="13" numFmtId="164" xfId="0" applyAlignment="1" applyBorder="1" applyFont="1" applyNumberFormat="1">
      <alignment horizontal="center" readingOrder="0" vertical="center"/>
    </xf>
    <xf borderId="5" fillId="0" fontId="2" numFmtId="0" xfId="0" applyBorder="1" applyFont="1"/>
    <xf borderId="0" fillId="7" fontId="12" numFmtId="0" xfId="0" applyAlignment="1" applyFont="1">
      <alignment horizontal="left" readingOrder="0" vertical="center"/>
    </xf>
    <xf borderId="0" fillId="12" fontId="13" numFmtId="164" xfId="0" applyAlignment="1" applyFill="1" applyFont="1" applyNumberFormat="1">
      <alignment horizontal="center" readingOrder="0" vertical="center"/>
    </xf>
    <xf borderId="4" fillId="12" fontId="13" numFmtId="164" xfId="0" applyAlignment="1" applyBorder="1" applyFont="1" applyNumberFormat="1">
      <alignment horizontal="center" readingOrder="0" vertical="center"/>
    </xf>
    <xf borderId="0" fillId="2" fontId="12" numFmtId="0" xfId="0" applyAlignment="1" applyFont="1">
      <alignment horizontal="left" readingOrder="0" vertical="center"/>
    </xf>
    <xf borderId="0" fillId="13" fontId="13" numFmtId="164" xfId="0" applyAlignment="1" applyFill="1" applyFont="1" applyNumberFormat="1">
      <alignment horizontal="center" readingOrder="0" vertical="center"/>
    </xf>
    <xf borderId="4" fillId="13" fontId="13" numFmtId="164" xfId="0" applyAlignment="1" applyBorder="1" applyFont="1" applyNumberFormat="1">
      <alignment horizontal="center" readingOrder="0" vertical="center"/>
    </xf>
    <xf borderId="0" fillId="5" fontId="12" numFmtId="0" xfId="0" applyAlignment="1" applyFont="1">
      <alignment horizontal="left" readingOrder="0" vertical="center"/>
    </xf>
    <xf borderId="0" fillId="14" fontId="13" numFmtId="164" xfId="0" applyAlignment="1" applyFill="1" applyFont="1" applyNumberFormat="1">
      <alignment horizontal="center" readingOrder="0" vertical="center"/>
    </xf>
    <xf borderId="4" fillId="14" fontId="13" numFmtId="164" xfId="0" applyAlignment="1" applyBorder="1" applyFont="1" applyNumberFormat="1">
      <alignment horizontal="center" readingOrder="0" vertical="center"/>
    </xf>
    <xf borderId="0" fillId="9" fontId="12" numFmtId="0" xfId="0" applyAlignment="1" applyFont="1">
      <alignment horizontal="left" readingOrder="0" vertical="center"/>
    </xf>
    <xf borderId="0" fillId="15" fontId="13" numFmtId="164" xfId="0" applyAlignment="1" applyFill="1" applyFont="1" applyNumberFormat="1">
      <alignment horizontal="center" readingOrder="0" vertical="center"/>
    </xf>
    <xf borderId="4" fillId="15" fontId="13" numFmtId="164" xfId="0" applyAlignment="1" applyBorder="1" applyFont="1" applyNumberFormat="1">
      <alignment horizontal="center" readingOrder="0" vertical="center"/>
    </xf>
    <xf borderId="0" fillId="6" fontId="12" numFmtId="0" xfId="0" applyAlignment="1" applyFont="1">
      <alignment horizontal="left" readingOrder="0" vertical="center"/>
    </xf>
    <xf borderId="0" fillId="16" fontId="13" numFmtId="164" xfId="0" applyAlignment="1" applyFill="1" applyFont="1" applyNumberFormat="1">
      <alignment horizontal="center" readingOrder="0" vertical="center"/>
    </xf>
    <xf borderId="4" fillId="16" fontId="13" numFmtId="164" xfId="0" applyAlignment="1" applyBorder="1" applyFont="1" applyNumberFormat="1">
      <alignment horizontal="center" readingOrder="0" vertical="center"/>
    </xf>
    <xf borderId="0" fillId="3" fontId="11" numFmtId="0" xfId="0" applyAlignment="1" applyFont="1">
      <alignment horizontal="left" readingOrder="0" vertical="center"/>
    </xf>
    <xf borderId="0" fillId="3" fontId="4" numFmtId="0" xfId="0" applyAlignment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6" fillId="17" fontId="14" numFmtId="0" xfId="0" applyBorder="1" applyFill="1" applyFont="1"/>
    <xf borderId="7" fillId="0" fontId="6" numFmtId="0" xfId="0" applyBorder="1" applyFont="1"/>
    <xf borderId="8" fillId="0" fontId="6" numFmtId="0" xfId="0" applyBorder="1" applyFont="1"/>
    <xf borderId="9" fillId="17" fontId="15" numFmtId="0" xfId="0" applyBorder="1" applyFont="1"/>
    <xf borderId="9" fillId="17" fontId="16" numFmtId="0" xfId="0" applyAlignment="1" applyBorder="1" applyFont="1">
      <alignment horizontal="center"/>
    </xf>
    <xf borderId="9" fillId="18" fontId="16" numFmtId="0" xfId="0" applyAlignment="1" applyBorder="1" applyFill="1" applyFont="1">
      <alignment horizontal="center"/>
    </xf>
    <xf borderId="9" fillId="18" fontId="16" numFmtId="0" xfId="0" applyBorder="1" applyFont="1"/>
    <xf borderId="9" fillId="19" fontId="17" numFmtId="0" xfId="0" applyAlignment="1" applyBorder="1" applyFill="1" applyFont="1">
      <alignment horizontal="center" vertical="center"/>
    </xf>
    <xf borderId="10" fillId="19" fontId="18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20" numFmtId="49" xfId="0" applyAlignment="1" applyFont="1" applyNumberForma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11" fillId="20" fontId="22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2" fillId="21" fontId="23" numFmtId="0" xfId="0" applyAlignment="1" applyBorder="1" applyFill="1" applyFont="1">
      <alignment readingOrder="0" shrinkToFit="0" vertical="center" wrapText="0"/>
    </xf>
    <xf borderId="12" fillId="21" fontId="23" numFmtId="49" xfId="0" applyAlignment="1" applyBorder="1" applyFont="1" applyNumberForma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2" fillId="22" fontId="23" numFmtId="49" xfId="0" applyAlignment="1" applyBorder="1" applyFill="1" applyFont="1" applyNumberFormat="1">
      <alignment readingOrder="0" shrinkToFit="0" vertical="center" wrapText="0"/>
    </xf>
    <xf borderId="12" fillId="22" fontId="23" numFmtId="0" xfId="0" applyAlignment="1" applyBorder="1" applyFont="1">
      <alignment readingOrder="0" shrinkToFit="0" vertical="center" wrapText="0"/>
    </xf>
    <xf borderId="0" fillId="22" fontId="23" numFmtId="49" xfId="0" applyAlignment="1" applyFont="1" applyNumberFormat="1">
      <alignment readingOrder="0" shrinkToFit="0" vertical="center" wrapText="0"/>
    </xf>
    <xf borderId="0" fillId="21" fontId="23" numFmtId="0" xfId="0" applyAlignment="1" applyFont="1">
      <alignment readingOrder="0" shrinkToFit="0" vertical="center" wrapText="0"/>
    </xf>
    <xf borderId="0" fillId="21" fontId="23" numFmtId="49" xfId="0" applyAlignment="1" applyFont="1" applyNumberFormat="1">
      <alignment readingOrder="0" shrinkToFit="0" vertical="center" wrapText="0"/>
    </xf>
    <xf borderId="0" fillId="21" fontId="24" numFmtId="0" xfId="0" applyAlignment="1" applyFont="1">
      <alignment readingOrder="0" shrinkToFit="0" vertical="center" wrapText="0"/>
    </xf>
    <xf borderId="0" fillId="21" fontId="24" numFmtId="49" xfId="0" applyAlignment="1" applyFont="1" applyNumberFormat="1">
      <alignment readingOrder="0" shrinkToFit="0" vertical="center" wrapText="0"/>
    </xf>
    <xf borderId="0" fillId="22" fontId="23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21" fontId="23" numFmtId="0" xfId="0" applyAlignment="1" applyFont="1">
      <alignment shrinkToFit="0" vertical="center" wrapText="0"/>
    </xf>
    <xf borderId="0" fillId="21" fontId="23" numFmtId="49" xfId="0" applyAlignment="1" applyFont="1" applyNumberFormat="1">
      <alignment shrinkToFit="0" vertical="center" wrapText="0"/>
    </xf>
    <xf borderId="0" fillId="0" fontId="25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1" fontId="24" numFmtId="165" xfId="0" applyAlignment="1" applyFont="1" applyNumberFormat="1">
      <alignment shrinkToFit="0" vertical="center" wrapText="0"/>
    </xf>
    <xf borderId="0" fillId="21" fontId="26" numFmtId="0" xfId="0" applyAlignment="1" applyFont="1">
      <alignment shrinkToFit="0" vertical="center" wrapText="0"/>
    </xf>
    <xf borderId="0" fillId="21" fontId="27" numFmtId="49" xfId="0" applyAlignment="1" applyFont="1" applyNumberFormat="1">
      <alignment shrinkToFit="0" vertical="center" wrapText="0"/>
    </xf>
    <xf borderId="0" fillId="21" fontId="28" numFmtId="49" xfId="0" applyAlignment="1" applyFont="1" applyNumberFormat="1">
      <alignment shrinkToFit="0" vertical="center" wrapText="0"/>
    </xf>
    <xf borderId="0" fillId="21" fontId="29" numFmtId="0" xfId="0" applyAlignment="1" applyFont="1">
      <alignment shrinkToFit="0" vertical="center" wrapText="0"/>
    </xf>
    <xf borderId="0" fillId="21" fontId="24" numFmtId="0" xfId="0" applyAlignment="1" applyFont="1">
      <alignment horizontal="right" readingOrder="0" shrinkToFit="0" vertical="center" wrapText="0"/>
    </xf>
    <xf borderId="0" fillId="21" fontId="23" numFmtId="0" xfId="0" applyAlignment="1" applyFont="1">
      <alignment shrinkToFit="0" vertical="center" wrapText="0"/>
    </xf>
    <xf borderId="13" fillId="0" fontId="2" numFmtId="165" xfId="0" applyAlignment="1" applyBorder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21" fontId="23" numFmtId="0" xfId="0" applyAlignment="1" applyBorder="1" applyFont="1">
      <alignment readingOrder="0" shrinkToFit="0" vertical="center" wrapText="0"/>
    </xf>
    <xf borderId="1" fillId="21" fontId="23" numFmtId="49" xfId="0" applyAlignment="1" applyBorder="1" applyFont="1" applyNumberFormat="1">
      <alignment readingOrder="0" shrinkToFit="0" vertical="center" wrapText="0"/>
    </xf>
    <xf borderId="1" fillId="0" fontId="30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4" fillId="0" fontId="2" numFmtId="49" xfId="0" applyAlignment="1" applyBorder="1" applyFont="1" applyNumberFormat="1">
      <alignment shrinkToFit="0" vertical="center" wrapText="0"/>
    </xf>
    <xf borderId="0" fillId="0" fontId="31" numFmtId="49" xfId="0" applyAlignment="1" applyFont="1" applyNumberFormat="1">
      <alignment readingOrder="0" shrinkToFit="0" vertical="center" wrapText="0"/>
    </xf>
    <xf borderId="0" fillId="22" fontId="24" numFmtId="49" xfId="0" applyAlignment="1" applyFont="1" applyNumberFormat="1">
      <alignment readingOrder="0" shrinkToFit="0" vertical="center" wrapText="0"/>
    </xf>
    <xf borderId="15" fillId="2" fontId="13" numFmtId="0" xfId="0" applyAlignment="1" applyBorder="1" applyFont="1">
      <alignment horizontal="center" readingOrder="0" vertical="center"/>
    </xf>
    <xf borderId="16" fillId="0" fontId="6" numFmtId="0" xfId="0" applyBorder="1" applyFont="1"/>
    <xf borderId="16" fillId="2" fontId="32" numFmtId="0" xfId="0" applyAlignment="1" applyBorder="1" applyFont="1">
      <alignment horizontal="center" readingOrder="0" vertical="center"/>
    </xf>
    <xf borderId="17" fillId="0" fontId="6" numFmtId="0" xfId="0" applyBorder="1" applyFont="1"/>
    <xf borderId="18" fillId="21" fontId="4" numFmtId="166" xfId="0" applyAlignment="1" applyBorder="1" applyFont="1" applyNumberFormat="1">
      <alignment readingOrder="0" vertical="center"/>
    </xf>
    <xf borderId="19" fillId="21" fontId="4" numFmtId="166" xfId="0" applyAlignment="1" applyBorder="1" applyFont="1" applyNumberFormat="1">
      <alignment readingOrder="0" vertical="center"/>
    </xf>
    <xf borderId="20" fillId="21" fontId="4" numFmtId="166" xfId="0" applyAlignment="1" applyBorder="1" applyFont="1" applyNumberFormat="1">
      <alignment readingOrder="0" vertical="center"/>
    </xf>
    <xf borderId="21" fillId="2" fontId="13" numFmtId="0" xfId="0" applyAlignment="1" applyBorder="1" applyFont="1">
      <alignment horizontal="center" readingOrder="0" vertical="center"/>
    </xf>
    <xf borderId="22" fillId="2" fontId="12" numFmtId="0" xfId="0" applyAlignment="1" applyBorder="1" applyFont="1">
      <alignment horizontal="center" readingOrder="0" vertical="center"/>
    </xf>
    <xf borderId="22" fillId="23" fontId="33" numFmtId="0" xfId="0" applyAlignment="1" applyBorder="1" applyFill="1" applyFont="1">
      <alignment horizontal="center" readingOrder="0" vertical="center"/>
    </xf>
    <xf borderId="22" fillId="23" fontId="33" numFmtId="164" xfId="0" applyAlignment="1" applyBorder="1" applyFont="1" applyNumberFormat="1">
      <alignment horizontal="center" readingOrder="0" vertical="center"/>
    </xf>
    <xf borderId="22" fillId="2" fontId="13" numFmtId="0" xfId="0" applyAlignment="1" applyBorder="1" applyFont="1">
      <alignment horizontal="center" readingOrder="0" vertical="center"/>
    </xf>
    <xf borderId="22" fillId="0" fontId="6" numFmtId="0" xfId="0" applyBorder="1" applyFont="1"/>
    <xf borderId="23" fillId="0" fontId="6" numFmtId="0" xfId="0" applyBorder="1" applyFont="1"/>
    <xf borderId="5" fillId="21" fontId="4" numFmtId="166" xfId="0" applyAlignment="1" applyBorder="1" applyFont="1" applyNumberFormat="1">
      <alignment readingOrder="0" vertical="center"/>
    </xf>
    <xf borderId="1" fillId="21" fontId="4" numFmtId="166" xfId="0" applyAlignment="1" applyBorder="1" applyFont="1" applyNumberFormat="1">
      <alignment readingOrder="0" vertical="center"/>
    </xf>
    <xf borderId="24" fillId="21" fontId="4" numFmtId="166" xfId="0" applyAlignment="1" applyBorder="1" applyFont="1" applyNumberFormat="1">
      <alignment readingOrder="0" vertical="center"/>
    </xf>
    <xf borderId="25" fillId="3" fontId="13" numFmtId="0" xfId="0" applyAlignment="1" applyBorder="1" applyFont="1">
      <alignment horizontal="center" readingOrder="0" vertical="center"/>
    </xf>
    <xf borderId="25" fillId="0" fontId="6" numFmtId="0" xfId="0" applyBorder="1" applyFont="1"/>
    <xf borderId="26" fillId="3" fontId="13" numFmtId="167" xfId="0" applyAlignment="1" applyBorder="1" applyFont="1" applyNumberFormat="1">
      <alignment horizontal="center" readingOrder="0" vertical="center"/>
    </xf>
    <xf borderId="27" fillId="3" fontId="13" numFmtId="167" xfId="0" applyAlignment="1" applyBorder="1" applyFont="1" applyNumberFormat="1">
      <alignment horizontal="center" readingOrder="0" vertical="center"/>
    </xf>
    <xf borderId="28" fillId="3" fontId="13" numFmtId="167" xfId="0" applyAlignment="1" applyBorder="1" applyFont="1" applyNumberFormat="1">
      <alignment horizontal="center" readingOrder="0" vertical="center"/>
    </xf>
    <xf borderId="29" fillId="3" fontId="13" numFmtId="164" xfId="0" applyAlignment="1" applyBorder="1" applyFont="1" applyNumberFormat="1">
      <alignment horizontal="center" readingOrder="0" vertical="center"/>
    </xf>
    <xf borderId="21" fillId="8" fontId="12" numFmtId="0" xfId="0" applyAlignment="1" applyBorder="1" applyFont="1">
      <alignment horizontal="left" readingOrder="0" vertical="center"/>
    </xf>
    <xf borderId="30" fillId="8" fontId="34" numFmtId="0" xfId="0" applyAlignment="1" applyBorder="1" applyFont="1">
      <alignment horizontal="center" vertical="center"/>
    </xf>
    <xf borderId="30" fillId="0" fontId="6" numFmtId="0" xfId="0" applyBorder="1" applyFont="1"/>
    <xf borderId="5" fillId="21" fontId="4" numFmtId="0" xfId="0" applyAlignment="1" applyBorder="1" applyFont="1">
      <alignment vertical="center"/>
    </xf>
    <xf borderId="1" fillId="21" fontId="4" numFmtId="0" xfId="0" applyAlignment="1" applyBorder="1" applyFont="1">
      <alignment vertical="center"/>
    </xf>
    <xf borderId="24" fillId="21" fontId="4" numFmtId="0" xfId="0" applyAlignment="1" applyBorder="1" applyFont="1">
      <alignment vertical="center"/>
    </xf>
    <xf borderId="21" fillId="24" fontId="12" numFmtId="0" xfId="0" applyAlignment="1" applyBorder="1" applyFill="1" applyFont="1">
      <alignment horizontal="left" readingOrder="0" vertical="center"/>
    </xf>
    <xf borderId="0" fillId="24" fontId="35" numFmtId="164" xfId="0" applyAlignment="1" applyFont="1" applyNumberFormat="1">
      <alignment horizontal="center" vertical="center"/>
    </xf>
    <xf borderId="21" fillId="21" fontId="4" numFmtId="0" xfId="0" applyAlignment="1" applyBorder="1" applyFont="1">
      <alignment horizontal="left" readingOrder="0" vertical="center"/>
    </xf>
    <xf borderId="0" fillId="21" fontId="4" numFmtId="168" xfId="0" applyAlignment="1" applyFont="1" applyNumberFormat="1">
      <alignment horizontal="center" vertical="center"/>
    </xf>
    <xf borderId="4" fillId="21" fontId="34" numFmtId="164" xfId="0" applyAlignment="1" applyBorder="1" applyFont="1" applyNumberFormat="1">
      <alignment horizontal="center" vertical="center"/>
    </xf>
    <xf borderId="21" fillId="11" fontId="4" numFmtId="0" xfId="0" applyAlignment="1" applyBorder="1" applyFont="1">
      <alignment horizontal="left" readingOrder="0" vertical="center"/>
    </xf>
    <xf borderId="0" fillId="11" fontId="4" numFmtId="168" xfId="0" applyAlignment="1" applyFont="1" applyNumberFormat="1">
      <alignment horizontal="center" vertical="center"/>
    </xf>
    <xf borderId="4" fillId="11" fontId="34" numFmtId="164" xfId="0" applyAlignment="1" applyBorder="1" applyFont="1" applyNumberFormat="1">
      <alignment horizontal="center" vertical="center"/>
    </xf>
    <xf borderId="21" fillId="21" fontId="2" numFmtId="0" xfId="0" applyAlignment="1" applyBorder="1" applyFont="1">
      <alignment readingOrder="0" vertical="center"/>
    </xf>
    <xf borderId="0" fillId="24" fontId="4" numFmtId="164" xfId="0" applyAlignment="1" applyFont="1" applyNumberFormat="1">
      <alignment horizontal="center" vertical="center"/>
    </xf>
    <xf borderId="0" fillId="11" fontId="2" numFmtId="0" xfId="0" applyAlignment="1" applyFont="1">
      <alignment readingOrder="0" vertical="center"/>
    </xf>
    <xf borderId="21" fillId="10" fontId="12" numFmtId="0" xfId="0" applyAlignment="1" applyBorder="1" applyFont="1">
      <alignment horizontal="left" readingOrder="0" vertical="center"/>
    </xf>
    <xf borderId="0" fillId="10" fontId="12" numFmtId="164" xfId="0" applyAlignment="1" applyFont="1" applyNumberFormat="1">
      <alignment horizontal="center" vertical="center"/>
    </xf>
    <xf borderId="4" fillId="10" fontId="12" numFmtId="164" xfId="0" applyAlignment="1" applyBorder="1" applyFont="1" applyNumberFormat="1">
      <alignment horizontal="center" vertical="center"/>
    </xf>
    <xf borderId="21" fillId="4" fontId="4" numFmtId="0" xfId="0" applyAlignment="1" applyBorder="1" applyFont="1">
      <alignment vertical="center"/>
    </xf>
    <xf borderId="0" fillId="4" fontId="36" numFmtId="164" xfId="0" applyAlignment="1" applyFont="1" applyNumberFormat="1">
      <alignment horizontal="center" vertical="center"/>
    </xf>
    <xf borderId="21" fillId="7" fontId="12" numFmtId="0" xfId="0" applyAlignment="1" applyBorder="1" applyFont="1">
      <alignment horizontal="left" readingOrder="0" vertical="center"/>
    </xf>
    <xf borderId="0" fillId="7" fontId="37" numFmtId="164" xfId="0" applyAlignment="1" applyFont="1" applyNumberFormat="1">
      <alignment horizontal="center" vertical="center"/>
    </xf>
    <xf borderId="21" fillId="25" fontId="12" numFmtId="0" xfId="0" applyAlignment="1" applyBorder="1" applyFill="1" applyFont="1">
      <alignment horizontal="left" readingOrder="0" vertical="center"/>
    </xf>
    <xf borderId="0" fillId="25" fontId="4" numFmtId="164" xfId="0" applyAlignment="1" applyFont="1" applyNumberFormat="1">
      <alignment horizontal="center" vertical="center"/>
    </xf>
    <xf borderId="4" fillId="21" fontId="37" numFmtId="164" xfId="0" applyAlignment="1" applyBorder="1" applyFont="1" applyNumberFormat="1">
      <alignment horizontal="center" vertical="center"/>
    </xf>
    <xf borderId="21" fillId="12" fontId="4" numFmtId="0" xfId="0" applyAlignment="1" applyBorder="1" applyFont="1">
      <alignment horizontal="left" readingOrder="0" vertical="center"/>
    </xf>
    <xf borderId="0" fillId="12" fontId="4" numFmtId="168" xfId="0" applyAlignment="1" applyFont="1" applyNumberFormat="1">
      <alignment horizontal="center" vertical="center"/>
    </xf>
    <xf borderId="4" fillId="12" fontId="37" numFmtId="164" xfId="0" applyAlignment="1" applyBorder="1" applyFont="1" applyNumberFormat="1">
      <alignment horizontal="center" vertical="center"/>
    </xf>
    <xf borderId="0" fillId="25" fontId="4" numFmtId="168" xfId="0" applyAlignment="1" applyFont="1" applyNumberFormat="1">
      <alignment horizontal="center" vertical="center"/>
    </xf>
    <xf borderId="0" fillId="7" fontId="12" numFmtId="164" xfId="0" applyAlignment="1" applyFont="1" applyNumberFormat="1">
      <alignment horizontal="center" vertical="center"/>
    </xf>
    <xf borderId="4" fillId="7" fontId="12" numFmtId="164" xfId="0" applyAlignment="1" applyBorder="1" applyFont="1" applyNumberFormat="1">
      <alignment horizontal="center" vertical="center"/>
    </xf>
    <xf borderId="0" fillId="4" fontId="4" numFmtId="164" xfId="0" applyAlignment="1" applyFont="1" applyNumberFormat="1">
      <alignment horizontal="center" vertical="center"/>
    </xf>
    <xf borderId="21" fillId="2" fontId="12" numFmtId="0" xfId="0" applyAlignment="1" applyBorder="1" applyFont="1">
      <alignment horizontal="center" readingOrder="0" vertical="center"/>
    </xf>
    <xf borderId="0" fillId="2" fontId="12" numFmtId="164" xfId="0" applyAlignment="1" applyFont="1" applyNumberForma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5" fillId="21" fontId="4" numFmtId="0" xfId="0" applyAlignment="1" applyBorder="1" applyFont="1">
      <alignment horizontal="center" vertical="center"/>
    </xf>
    <xf borderId="1" fillId="21" fontId="4" numFmtId="0" xfId="0" applyAlignment="1" applyBorder="1" applyFont="1">
      <alignment horizontal="center" vertical="center"/>
    </xf>
    <xf borderId="24" fillId="21" fontId="4" numFmtId="0" xfId="0" applyAlignment="1" applyBorder="1" applyFont="1">
      <alignment horizontal="center" vertical="center"/>
    </xf>
    <xf borderId="21" fillId="5" fontId="12" numFmtId="0" xfId="0" applyAlignment="1" applyBorder="1" applyFont="1">
      <alignment horizontal="center" readingOrder="0" vertical="center"/>
    </xf>
    <xf borderId="0" fillId="5" fontId="12" numFmtId="164" xfId="0" applyAlignment="1" applyFont="1" applyNumberFormat="1">
      <alignment horizontal="center" vertical="center"/>
    </xf>
    <xf borderId="4" fillId="5" fontId="12" numFmtId="164" xfId="0" applyAlignment="1" applyBorder="1" applyFont="1" applyNumberFormat="1">
      <alignment horizontal="center" vertical="center"/>
    </xf>
    <xf borderId="21" fillId="9" fontId="12" numFmtId="0" xfId="0" applyAlignment="1" applyBorder="1" applyFont="1">
      <alignment readingOrder="0" vertical="center"/>
    </xf>
    <xf borderId="0" fillId="9" fontId="4" numFmtId="164" xfId="0" applyAlignment="1" applyFont="1" applyNumberFormat="1">
      <alignment horizontal="center" vertical="center"/>
    </xf>
    <xf borderId="21" fillId="9" fontId="12" numFmtId="0" xfId="0" applyAlignment="1" applyBorder="1" applyFont="1">
      <alignment horizontal="left" readingOrder="0" vertical="center"/>
    </xf>
    <xf borderId="21" fillId="26" fontId="12" numFmtId="0" xfId="0" applyAlignment="1" applyBorder="1" applyFill="1" applyFont="1">
      <alignment horizontal="left" readingOrder="0" vertical="center"/>
    </xf>
    <xf borderId="0" fillId="26" fontId="4" numFmtId="164" xfId="0" applyAlignment="1" applyFont="1" applyNumberFormat="1">
      <alignment horizontal="center" vertical="center"/>
    </xf>
    <xf borderId="4" fillId="21" fontId="38" numFmtId="164" xfId="0" applyAlignment="1" applyBorder="1" applyFont="1" applyNumberFormat="1">
      <alignment horizontal="center" vertical="center"/>
    </xf>
    <xf borderId="21" fillId="15" fontId="4" numFmtId="0" xfId="0" applyAlignment="1" applyBorder="1" applyFont="1">
      <alignment horizontal="left" readingOrder="0" vertical="center"/>
    </xf>
    <xf borderId="0" fillId="15" fontId="4" numFmtId="168" xfId="0" applyAlignment="1" applyFont="1" applyNumberFormat="1">
      <alignment horizontal="center" vertical="center"/>
    </xf>
    <xf borderId="4" fillId="15" fontId="38" numFmtId="164" xfId="0" applyAlignment="1" applyBorder="1" applyFont="1" applyNumberFormat="1">
      <alignment horizontal="center" vertical="center"/>
    </xf>
    <xf borderId="0" fillId="15" fontId="2" numFmtId="0" xfId="0" applyAlignment="1" applyFont="1">
      <alignment readingOrder="0" vertical="center"/>
    </xf>
    <xf borderId="0" fillId="9" fontId="12" numFmtId="164" xfId="0" applyAlignment="1" applyFont="1" applyNumberFormat="1">
      <alignment horizontal="center" vertical="center"/>
    </xf>
    <xf borderId="4" fillId="9" fontId="12" numFmtId="164" xfId="0" applyAlignment="1" applyBorder="1" applyFont="1" applyNumberFormat="1">
      <alignment horizontal="center" vertical="center"/>
    </xf>
    <xf borderId="0" fillId="26" fontId="4" numFmtId="168" xfId="0" applyAlignment="1" applyFont="1" applyNumberFormat="1">
      <alignment horizontal="center" vertical="center"/>
    </xf>
    <xf borderId="21" fillId="27" fontId="12" numFmtId="0" xfId="0" applyAlignment="1" applyBorder="1" applyFill="1" applyFont="1">
      <alignment horizontal="left" vertical="center"/>
    </xf>
    <xf borderId="0" fillId="27" fontId="12" numFmtId="164" xfId="0" applyAlignment="1" applyFont="1" applyNumberFormat="1">
      <alignment horizontal="center" vertical="center"/>
    </xf>
    <xf borderId="4" fillId="27" fontId="12" numFmtId="164" xfId="0" applyAlignment="1" applyBorder="1" applyFont="1" applyNumberFormat="1">
      <alignment horizontal="center" vertical="center"/>
    </xf>
    <xf borderId="0" fillId="4" fontId="4" numFmtId="0" xfId="0" applyAlignment="1" applyFont="1">
      <alignment horizontal="center" vertical="center"/>
    </xf>
    <xf borderId="21" fillId="6" fontId="12" numFmtId="0" xfId="0" applyAlignment="1" applyBorder="1" applyFont="1">
      <alignment readingOrder="0" vertical="center"/>
    </xf>
    <xf borderId="0" fillId="6" fontId="12" numFmtId="0" xfId="0" applyAlignment="1" applyFont="1">
      <alignment horizontal="center" vertical="center"/>
    </xf>
    <xf borderId="25" fillId="6" fontId="12" numFmtId="0" xfId="0" applyAlignment="1" applyBorder="1" applyFont="1">
      <alignment horizontal="center" vertical="center"/>
    </xf>
    <xf borderId="21" fillId="7" fontId="12" numFmtId="0" xfId="0" applyAlignment="1" applyBorder="1" applyFont="1">
      <alignment horizontal="center" vertical="center"/>
    </xf>
    <xf borderId="21" fillId="8" fontId="12" numFmtId="0" xfId="0" applyAlignment="1" applyBorder="1" applyFont="1">
      <alignment horizontal="center" vertical="center"/>
    </xf>
    <xf borderId="0" fillId="8" fontId="12" numFmtId="164" xfId="0" applyAlignment="1" applyFont="1" applyNumberFormat="1">
      <alignment horizontal="center" vertical="center"/>
    </xf>
    <xf borderId="4" fillId="8" fontId="12" numFmtId="164" xfId="0" applyAlignment="1" applyBorder="1" applyFont="1" applyNumberFormat="1">
      <alignment horizontal="center" vertical="center"/>
    </xf>
    <xf borderId="21" fillId="2" fontId="12" numFmtId="0" xfId="0" applyAlignment="1" applyBorder="1" applyFont="1">
      <alignment horizontal="center" vertical="center"/>
    </xf>
    <xf borderId="21" fillId="28" fontId="12" numFmtId="0" xfId="0" applyAlignment="1" applyBorder="1" applyFill="1" applyFont="1">
      <alignment horizontal="center" readingOrder="0" vertical="center"/>
    </xf>
    <xf borderId="0" fillId="28" fontId="12" numFmtId="164" xfId="0" applyAlignment="1" applyFont="1" applyNumberFormat="1">
      <alignment horizontal="center" vertical="center"/>
    </xf>
    <xf borderId="4" fillId="28" fontId="35" numFmtId="164" xfId="0" applyAlignment="1" applyBorder="1" applyFont="1" applyNumberFormat="1">
      <alignment horizontal="center" vertical="center"/>
    </xf>
    <xf borderId="31" fillId="3" fontId="11" numFmtId="0" xfId="0" applyAlignment="1" applyBorder="1" applyFont="1">
      <alignment horizontal="center" readingOrder="0" vertical="center"/>
    </xf>
    <xf borderId="32" fillId="0" fontId="6" numFmtId="0" xfId="0" applyBorder="1" applyFont="1"/>
    <xf borderId="32" fillId="3" fontId="4" numFmtId="0" xfId="0" applyAlignment="1" applyBorder="1" applyFont="1">
      <alignment horizontal="center" vertical="center"/>
    </xf>
    <xf borderId="33" fillId="3" fontId="4" numFmtId="0" xfId="0" applyAlignment="1" applyBorder="1" applyFont="1">
      <alignment horizontal="center" vertical="center"/>
    </xf>
    <xf borderId="34" fillId="17" fontId="12" numFmtId="0" xfId="0" applyAlignment="1" applyBorder="1" applyFont="1">
      <alignment readingOrder="0" vertical="center"/>
    </xf>
    <xf borderId="35" fillId="0" fontId="6" numFmtId="0" xfId="0" applyBorder="1" applyFont="1"/>
    <xf borderId="36" fillId="17" fontId="14" numFmtId="0" xfId="0" applyBorder="1" applyFont="1"/>
    <xf borderId="36" fillId="0" fontId="6" numFmtId="0" xfId="0" applyBorder="1" applyFont="1"/>
    <xf borderId="37" fillId="0" fontId="6" numFmtId="0" xfId="0" applyBorder="1" applyFont="1"/>
    <xf borderId="38" fillId="19" fontId="11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19" fillId="0" fontId="4" numFmtId="164" xfId="0" applyAlignment="1" applyBorder="1" applyFont="1" applyNumberFormat="1">
      <alignment vertical="center"/>
    </xf>
    <xf borderId="24" fillId="0" fontId="4" numFmtId="0" xfId="0" applyAlignment="1" applyBorder="1" applyFont="1">
      <alignment vertical="center"/>
    </xf>
    <xf borderId="1" fillId="0" fontId="4" numFmtId="164" xfId="0" applyAlignment="1" applyBorder="1" applyFont="1" applyNumberFormat="1">
      <alignment vertical="center"/>
    </xf>
    <xf borderId="6" fillId="18" fontId="39" numFmtId="0" xfId="0" applyAlignment="1" applyBorder="1" applyFont="1">
      <alignment horizontal="center"/>
    </xf>
    <xf borderId="39" fillId="0" fontId="40" numFmtId="0" xfId="0" applyAlignment="1" applyBorder="1" applyFont="1">
      <alignment readingOrder="0"/>
    </xf>
    <xf borderId="40" fillId="0" fontId="6" numFmtId="0" xfId="0" applyBorder="1" applyFont="1"/>
    <xf borderId="6" fillId="29" fontId="41" numFmtId="0" xfId="0" applyAlignment="1" applyBorder="1" applyFill="1" applyFont="1">
      <alignment readingOrder="0" shrinkToFit="0" wrapText="1"/>
    </xf>
    <xf borderId="41" fillId="0" fontId="6" numFmtId="0" xfId="0" applyBorder="1" applyFont="1"/>
    <xf borderId="34" fillId="30" fontId="12" numFmtId="0" xfId="0" applyAlignment="1" applyBorder="1" applyFill="1" applyFont="1">
      <alignment horizontal="right"/>
    </xf>
    <xf borderId="42" fillId="0" fontId="6" numFmtId="0" xfId="0" applyBorder="1" applyFont="1"/>
    <xf borderId="34" fillId="23" fontId="33" numFmtId="169" xfId="0" applyAlignment="1" applyBorder="1" applyFont="1" applyNumberFormat="1">
      <alignment horizontal="center"/>
    </xf>
    <xf borderId="34" fillId="19" fontId="42" numFmtId="0" xfId="0" applyAlignment="1" applyBorder="1" applyFont="1">
      <alignment readingOrder="0"/>
    </xf>
    <xf borderId="9" fillId="30" fontId="12" numFmtId="0" xfId="0" applyAlignment="1" applyBorder="1" applyFont="1">
      <alignment horizontal="center" shrinkToFit="0" vertical="center" wrapText="1"/>
    </xf>
    <xf borderId="34" fillId="30" fontId="12" numFmtId="0" xfId="0" applyAlignment="1" applyBorder="1" applyFont="1">
      <alignment horizontal="center" readingOrder="0" shrinkToFit="0" vertical="center" wrapText="1"/>
    </xf>
    <xf borderId="43" fillId="30" fontId="12" numFmtId="0" xfId="0" applyAlignment="1" applyBorder="1" applyFont="1">
      <alignment horizontal="center" shrinkToFit="0" vertical="center" wrapText="1"/>
    </xf>
    <xf borderId="9" fillId="18" fontId="12" numFmtId="0" xfId="0" applyAlignment="1" applyBorder="1" applyFont="1">
      <alignment horizontal="center" shrinkToFit="0" vertical="center" wrapText="1"/>
    </xf>
    <xf borderId="44" fillId="0" fontId="6" numFmtId="0" xfId="0" applyBorder="1" applyFont="1"/>
    <xf borderId="18" fillId="0" fontId="6" numFmtId="0" xfId="0" applyBorder="1" applyFont="1"/>
    <xf borderId="9" fillId="0" fontId="4" numFmtId="170" xfId="0" applyAlignment="1" applyBorder="1" applyFont="1" applyNumberFormat="1">
      <alignment horizontal="center"/>
    </xf>
    <xf borderId="9" fillId="0" fontId="43" numFmtId="0" xfId="0" applyAlignment="1" applyBorder="1" applyFont="1">
      <alignment horizontal="center"/>
    </xf>
    <xf borderId="9" fillId="0" fontId="44" numFmtId="171" xfId="0" applyAlignment="1" applyBorder="1" applyFont="1" applyNumberFormat="1">
      <alignment horizontal="right"/>
    </xf>
    <xf borderId="34" fillId="0" fontId="44" numFmtId="171" xfId="0" applyAlignment="1" applyBorder="1" applyFont="1" applyNumberFormat="1">
      <alignment horizontal="right"/>
    </xf>
    <xf borderId="43" fillId="0" fontId="44" numFmtId="171" xfId="0" applyAlignment="1" applyBorder="1" applyFont="1" applyNumberFormat="1">
      <alignment horizontal="right"/>
    </xf>
    <xf borderId="43" fillId="0" fontId="4" numFmtId="171" xfId="0" applyAlignment="1" applyBorder="1" applyFont="1" applyNumberFormat="1">
      <alignment horizontal="right"/>
    </xf>
    <xf borderId="45" fillId="0" fontId="11" numFmtId="171" xfId="0" applyAlignment="1" applyBorder="1" applyFont="1" applyNumberFormat="1">
      <alignment horizontal="right"/>
    </xf>
    <xf borderId="9" fillId="0" fontId="11" numFmtId="0" xfId="0" applyAlignment="1" applyBorder="1" applyFont="1">
      <alignment horizontal="center"/>
    </xf>
    <xf borderId="5" fillId="0" fontId="40" numFmtId="0" xfId="0" applyAlignment="1" applyBorder="1" applyFont="1">
      <alignment readingOrder="0"/>
    </xf>
    <xf borderId="24" fillId="0" fontId="2" numFmtId="0" xfId="0" applyBorder="1" applyFont="1"/>
    <xf borderId="9" fillId="31" fontId="43" numFmtId="0" xfId="0" applyAlignment="1" applyBorder="1" applyFill="1" applyFont="1">
      <alignment horizontal="center"/>
    </xf>
    <xf borderId="9" fillId="21" fontId="43" numFmtId="0" xfId="0" applyAlignment="1" applyBorder="1" applyFont="1">
      <alignment horizontal="center"/>
    </xf>
    <xf borderId="40" fillId="0" fontId="40" numFmtId="0" xfId="0" applyAlignment="1" applyBorder="1" applyFont="1">
      <alignment readingOrder="0"/>
    </xf>
    <xf borderId="46" fillId="0" fontId="2" numFmtId="0" xfId="0" applyBorder="1" applyFont="1"/>
    <xf borderId="47" fillId="4" fontId="4" numFmtId="0" xfId="0" applyAlignment="1" applyBorder="1" applyFont="1">
      <alignment vertical="center"/>
    </xf>
    <xf borderId="48" fillId="18" fontId="14" numFmtId="170" xfId="0" applyBorder="1" applyFont="1" applyNumberFormat="1"/>
    <xf borderId="49" fillId="0" fontId="6" numFmtId="0" xfId="0" applyBorder="1" applyFont="1"/>
    <xf borderId="50" fillId="0" fontId="6" numFmtId="0" xfId="0" applyBorder="1" applyFont="1"/>
    <xf borderId="34" fillId="19" fontId="45" numFmtId="170" xfId="0" applyBorder="1" applyFont="1" applyNumberFormat="1"/>
    <xf borderId="51" fillId="32" fontId="46" numFmtId="1" xfId="0" applyAlignment="1" applyBorder="1" applyFill="1" applyFont="1" applyNumberFormat="1">
      <alignment horizontal="right"/>
    </xf>
    <xf borderId="52" fillId="0" fontId="6" numFmtId="0" xfId="0" applyBorder="1" applyFont="1"/>
    <xf borderId="34" fillId="21" fontId="47" numFmtId="170" xfId="0" applyBorder="1" applyFont="1" applyNumberFormat="1"/>
    <xf borderId="51" fillId="32" fontId="48" numFmtId="1" xfId="0" applyAlignment="1" applyBorder="1" applyFont="1" applyNumberFormat="1">
      <alignment horizontal="right"/>
    </xf>
    <xf borderId="51" fillId="32" fontId="46" numFmtId="164" xfId="0" applyAlignment="1" applyBorder="1" applyFont="1" applyNumberFormat="1">
      <alignment horizontal="right"/>
    </xf>
    <xf borderId="34" fillId="21" fontId="49" numFmtId="170" xfId="0" applyBorder="1" applyFont="1" applyNumberFormat="1"/>
    <xf borderId="51" fillId="32" fontId="50" numFmtId="164" xfId="0" applyAlignment="1" applyBorder="1" applyFont="1" applyNumberFormat="1">
      <alignment horizontal="right"/>
    </xf>
    <xf borderId="34" fillId="19" fontId="51" numFmtId="170" xfId="0" applyBorder="1" applyFont="1" applyNumberFormat="1"/>
    <xf borderId="51" fillId="32" fontId="52" numFmtId="164" xfId="0" applyAlignment="1" applyBorder="1" applyFont="1" applyNumberFormat="1">
      <alignment horizontal="right"/>
    </xf>
    <xf borderId="34" fillId="21" fontId="53" numFmtId="170" xfId="0" applyBorder="1" applyFont="1" applyNumberFormat="1"/>
    <xf borderId="51" fillId="32" fontId="54" numFmtId="164" xfId="0" applyAlignment="1" applyBorder="1" applyFont="1" applyNumberFormat="1">
      <alignment horizontal="right"/>
    </xf>
    <xf borderId="0" fillId="33" fontId="10" numFmtId="0" xfId="0" applyAlignment="1" applyFill="1" applyFont="1">
      <alignment horizontal="center" readingOrder="0" vertical="bottom"/>
    </xf>
    <xf borderId="0" fillId="33" fontId="10" numFmtId="172" xfId="0" applyAlignment="1" applyFont="1" applyNumberFormat="1">
      <alignment horizontal="center" readingOrder="0" vertical="bottom"/>
    </xf>
    <xf borderId="53" fillId="34" fontId="10" numFmtId="0" xfId="0" applyAlignment="1" applyBorder="1" applyFill="1" applyFont="1">
      <alignment horizontal="center" readingOrder="0" vertical="bottom"/>
    </xf>
    <xf borderId="53" fillId="34" fontId="23" numFmtId="0" xfId="0" applyAlignment="1" applyBorder="1" applyFont="1">
      <alignment horizontal="center" vertical="bottom"/>
    </xf>
    <xf borderId="0" fillId="35" fontId="23" numFmtId="0" xfId="0" applyAlignment="1" applyFill="1" applyFont="1">
      <alignment horizontal="center" readingOrder="0" vertical="bottom"/>
    </xf>
    <xf borderId="0" fillId="3" fontId="23" numFmtId="0" xfId="0" applyAlignment="1" applyFont="1">
      <alignment horizontal="center" readingOrder="0" vertical="bottom"/>
    </xf>
    <xf borderId="0" fillId="3" fontId="23" numFmtId="172" xfId="0" applyAlignment="1" applyFont="1" applyNumberFormat="1">
      <alignment horizontal="center" readingOrder="0" vertical="bottom"/>
    </xf>
    <xf borderId="53" fillId="34" fontId="23" numFmtId="0" xfId="0" applyAlignment="1" applyBorder="1" applyFont="1">
      <alignment horizontal="center" readingOrder="0" vertical="bottom"/>
    </xf>
    <xf borderId="53" fillId="34" fontId="23" numFmtId="0" xfId="0" applyAlignment="1" applyBorder="1" applyFont="1">
      <alignment horizontal="center" vertical="bottom"/>
    </xf>
    <xf borderId="53" fillId="0" fontId="6" numFmtId="0" xfId="0" applyBorder="1" applyFont="1"/>
    <xf borderId="0" fillId="35" fontId="23" numFmtId="0" xfId="0" applyAlignment="1" applyFont="1">
      <alignment horizontal="center" vertical="bottom"/>
    </xf>
    <xf borderId="0" fillId="3" fontId="23" numFmtId="0" xfId="0" applyAlignment="1" applyFont="1">
      <alignment horizontal="center" vertical="bottom"/>
    </xf>
    <xf borderId="0" fillId="3" fontId="23" numFmtId="172" xfId="0" applyAlignment="1" applyFont="1" applyNumberFormat="1">
      <alignment horizontal="center" vertical="bottom"/>
    </xf>
    <xf borderId="0" fillId="35" fontId="23" numFmtId="0" xfId="0" applyAlignment="1" applyFont="1">
      <alignment vertical="bottom"/>
    </xf>
    <xf borderId="0" fillId="3" fontId="23" numFmtId="0" xfId="0" applyAlignment="1" applyFont="1">
      <alignment vertical="bottom"/>
    </xf>
    <xf borderId="0" fillId="3" fontId="23" numFmtId="172" xfId="0" applyAlignment="1" applyFont="1" applyNumberFormat="1">
      <alignment vertical="bottom"/>
    </xf>
    <xf borderId="0" fillId="35" fontId="23" numFmtId="0" xfId="0" applyAlignment="1" applyFont="1">
      <alignment readingOrder="0" vertical="bottom"/>
    </xf>
    <xf borderId="0" fillId="3" fontId="23" numFmtId="0" xfId="0" applyAlignment="1" applyFont="1">
      <alignment readingOrder="0" vertical="bottom"/>
    </xf>
    <xf borderId="0" fillId="3" fontId="23" numFmtId="172" xfId="0" applyAlignment="1" applyFont="1" applyNumberFormat="1">
      <alignment readingOrder="0" vertical="bottom"/>
    </xf>
    <xf borderId="53" fillId="34" fontId="23" numFmtId="0" xfId="0" applyAlignment="1" applyBorder="1" applyFont="1">
      <alignment vertical="bottom"/>
    </xf>
    <xf borderId="0" fillId="0" fontId="2" numFmtId="164" xfId="0" applyFont="1" applyNumberFormat="1"/>
    <xf borderId="0" fillId="0" fontId="11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/>
    </xf>
    <xf borderId="0" fillId="0" fontId="56" numFmtId="0" xfId="0" applyAlignment="1" applyFont="1">
      <alignment horizontal="center" readingOrder="0"/>
    </xf>
    <xf borderId="0" fillId="0" fontId="57" numFmtId="0" xfId="0" applyAlignment="1" applyFont="1">
      <alignment horizontal="center" readingOrder="0"/>
    </xf>
    <xf borderId="0" fillId="0" fontId="58" numFmtId="0" xfId="0" applyAlignment="1" applyFont="1">
      <alignment readingOrder="0"/>
    </xf>
    <xf borderId="0" fillId="11" fontId="58" numFmtId="0" xfId="0" applyAlignment="1" applyFont="1">
      <alignment readingOrder="0"/>
    </xf>
    <xf borderId="0" fillId="36" fontId="58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298A43"/>
          <bgColor rgb="FF298A4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298A43"/>
        </left>
        <right style="thin">
          <color rgb="FF298A43"/>
        </right>
        <top style="thin">
          <color rgb="FF298A43"/>
        </top>
        <bottom style="thin">
          <color rgb="FF298A43"/>
        </bottom>
      </border>
    </dxf>
    <dxf>
      <font/>
      <fill>
        <patternFill patternType="solid">
          <fgColor rgb="FFD63C3C"/>
          <bgColor rgb="FFD63C3C"/>
        </patternFill>
      </fill>
      <border/>
    </dxf>
    <dxf>
      <font/>
      <fill>
        <patternFill patternType="solid">
          <fgColor rgb="FFEB9A22"/>
          <bgColor rgb="FFEB9A22"/>
        </patternFill>
      </fill>
      <border/>
    </dxf>
    <dxf>
      <font>
        <b/>
        <color rgb="FF000000"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none"/>
      </fill>
      <border/>
    </dxf>
  </dxfs>
  <tableStyles count="3">
    <tableStyle count="4" pivot="0" name="Entré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rti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révisions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GRAPH SYNTHESE MENSUELLE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'CACHE GRAPH'!$B$1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'CACHE GRAPH'!$A$2:$A$13</c:f>
            </c:strRef>
          </c:cat>
          <c:val>
            <c:numRef>
              <c:f>'CACHE GRAPH'!$B$2:$B$13</c:f>
              <c:numCache/>
            </c:numRef>
          </c:val>
        </c:ser>
        <c:ser>
          <c:idx val="1"/>
          <c:order val="1"/>
          <c:tx>
            <c:strRef>
              <c:f>'CACHE GRAPH'!$C$1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'CACHE GRAPH'!$A$2:$A$13</c:f>
            </c:strRef>
          </c:cat>
          <c:val>
            <c:numRef>
              <c:f>'CACHE GRAPH'!$C$2:$C$13</c:f>
              <c:numCache/>
            </c:numRef>
          </c:val>
        </c:ser>
        <c:ser>
          <c:idx val="2"/>
          <c:order val="2"/>
          <c:tx>
            <c:strRef>
              <c:f>'CACHE GRAPH'!$D$1</c:f>
            </c:strRef>
          </c:tx>
          <c:spPr>
            <a:solidFill>
              <a:srgbClr val="073763"/>
            </a:solidFill>
            <a:ln cmpd="sng">
              <a:noFill/>
            </a:ln>
          </c:spPr>
          <c:cat>
            <c:strRef>
              <c:f>'CACHE GRAPH'!$A$2:$A$13</c:f>
            </c:strRef>
          </c:cat>
          <c:val>
            <c:numRef>
              <c:f>'CACHE GRAPH'!$D$2:$D$13</c:f>
              <c:numCache/>
            </c:numRef>
          </c:val>
        </c:ser>
        <c:ser>
          <c:idx val="3"/>
          <c:order val="3"/>
          <c:tx>
            <c:strRef>
              <c:f>'CACHE GRAPH'!$E$1</c:f>
            </c:strRef>
          </c:tx>
          <c:spPr>
            <a:solidFill>
              <a:srgbClr val="1155CC"/>
            </a:solidFill>
            <a:ln cmpd="sng">
              <a:noFill/>
            </a:ln>
          </c:spPr>
          <c:cat>
            <c:strRef>
              <c:f>'CACHE GRAPH'!$A$2:$A$13</c:f>
            </c:strRef>
          </c:cat>
          <c:val>
            <c:numRef>
              <c:f>'CACHE GRAPH'!$E$2:$E$13</c:f>
              <c:numCache/>
            </c:numRef>
          </c:val>
        </c:ser>
        <c:ser>
          <c:idx val="4"/>
          <c:order val="4"/>
          <c:tx>
            <c:strRef>
              <c:f>'CACHE GRAPH'!$F$1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'CACHE GRAPH'!$A$2:$A$13</c:f>
            </c:strRef>
          </c:cat>
          <c:val>
            <c:numRef>
              <c:f>'CACHE GRAPH'!$F$2:$F$13</c:f>
              <c:numCache/>
            </c:numRef>
          </c:val>
        </c:ser>
        <c:ser>
          <c:idx val="5"/>
          <c:order val="5"/>
          <c:tx>
            <c:strRef>
              <c:f>'CACHE GRAPH'!$G$1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'CACHE GRAPH'!$A$2:$A$13</c:f>
            </c:strRef>
          </c:cat>
          <c:val>
            <c:numRef>
              <c:f>'CACHE GRAPH'!$G$2:$G$13</c:f>
              <c:numCache/>
            </c:numRef>
          </c:val>
        </c:ser>
        <c:ser>
          <c:idx val="6"/>
          <c:order val="6"/>
          <c:tx>
            <c:strRef>
              <c:f>'CACHE GRAPH'!$H$1</c:f>
            </c:strRef>
          </c:tx>
          <c:spPr>
            <a:solidFill>
              <a:srgbClr val="351C75"/>
            </a:solidFill>
            <a:ln cmpd="sng">
              <a:noFill/>
            </a:ln>
          </c:spPr>
          <c:cat>
            <c:strRef>
              <c:f>'CACHE GRAPH'!$A$2:$A$13</c:f>
            </c:strRef>
          </c:cat>
          <c:val>
            <c:numRef>
              <c:f>'CACHE GRAPH'!$H$2:$H$13</c:f>
              <c:numCache/>
            </c:numRef>
          </c:val>
        </c:ser>
        <c:axId val="1421525619"/>
        <c:axId val="485302956"/>
      </c:barChart>
      <c:catAx>
        <c:axId val="1421525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302956"/>
      </c:catAx>
      <c:valAx>
        <c:axId val="485302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525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Flux net par jour (€)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'Flux Journalier'!$H$1:$H$4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'Flux Journalier'!$A$5:$A$377</c:f>
            </c:strRef>
          </c:cat>
          <c:val>
            <c:numRef>
              <c:f>'Flux Journalier'!$H$5:$H$377</c:f>
              <c:numCache/>
            </c:numRef>
          </c:val>
          <c:smooth val="0"/>
        </c:ser>
        <c:axId val="193500481"/>
        <c:axId val="327475288"/>
      </c:lineChart>
      <c:catAx>
        <c:axId val="193500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Entrées réelles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475288"/>
      </c:catAx>
      <c:valAx>
        <c:axId val="327475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Flux net du jour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004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DÉPENSES RÉELLES, ENTRÉES RÉELLES, RÉSULTAT NET RÉEL, SOLDE RÉEL CUMULÉ, TOTAL DÉPENSES PRÉV…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'CACHE GRAPH'!$H$1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'CACHE GRAPH'!$A$2:$A$13</c:f>
            </c:strRef>
          </c:cat>
          <c:val>
            <c:numRef>
              <c:f>'CACHE GRAPH'!$H$2:$H$13</c:f>
              <c:numCache/>
            </c:numRef>
          </c:val>
        </c:ser>
        <c:ser>
          <c:idx val="1"/>
          <c:order val="1"/>
          <c:tx>
            <c:strRef>
              <c:f>'CACHE GRAPH'!$C$1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'CACHE GRAPH'!$A$2:$A$13</c:f>
            </c:strRef>
          </c:cat>
          <c:val>
            <c:numRef>
              <c:f>'CACHE GRAPH'!$C$2:$C$13</c:f>
              <c:numCache/>
            </c:numRef>
          </c:val>
        </c:ser>
        <c:ser>
          <c:idx val="2"/>
          <c:order val="2"/>
          <c:tx>
            <c:strRef>
              <c:f>'CACHE GRAPH'!$D$1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'CACHE GRAPH'!$A$2:$A$13</c:f>
            </c:strRef>
          </c:cat>
          <c:val>
            <c:numRef>
              <c:f>'CACHE GRAPH'!$D$2:$D$13</c:f>
              <c:numCache/>
            </c:numRef>
          </c:val>
        </c:ser>
        <c:ser>
          <c:idx val="3"/>
          <c:order val="3"/>
          <c:tx>
            <c:strRef>
              <c:f>'CACHE GRAPH'!$E$1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'CACHE GRAPH'!$A$2:$A$13</c:f>
            </c:strRef>
          </c:cat>
          <c:val>
            <c:numRef>
              <c:f>'CACHE GRAPH'!$E$2:$E$13</c:f>
              <c:numCache/>
            </c:numRef>
          </c:val>
        </c:ser>
        <c:ser>
          <c:idx val="4"/>
          <c:order val="4"/>
          <c:tx>
            <c:strRef>
              <c:f>'CACHE GRAPH'!$F$1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'CACHE GRAPH'!$A$2:$A$13</c:f>
            </c:strRef>
          </c:cat>
          <c:val>
            <c:numRef>
              <c:f>'CACHE GRAPH'!$F$2:$F$13</c:f>
              <c:numCache/>
            </c:numRef>
          </c:val>
        </c:ser>
        <c:ser>
          <c:idx val="5"/>
          <c:order val="5"/>
          <c:tx>
            <c:strRef>
              <c:f>'CACHE GRAPH'!$G$1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'CACHE GRAPH'!$A$2:$A$13</c:f>
            </c:strRef>
          </c:cat>
          <c:val>
            <c:numRef>
              <c:f>'CACHE GRAPH'!$G$2:$G$13</c:f>
              <c:numCache/>
            </c:numRef>
          </c:val>
        </c:ser>
        <c:ser>
          <c:idx val="6"/>
          <c:order val="6"/>
          <c:tx>
            <c:strRef>
              <c:f>'CACHE GRAPH'!$B$1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cat>
            <c:strRef>
              <c:f>'CACHE GRAPH'!$A$2:$A$13</c:f>
            </c:strRef>
          </c:cat>
          <c:val>
            <c:numRef>
              <c:f>'CACHE GRAPH'!$B$2:$B$13</c:f>
              <c:numCache/>
            </c:numRef>
          </c:val>
        </c:ser>
        <c:axId val="1749039439"/>
        <c:axId val="81406979"/>
      </c:areaChart>
      <c:catAx>
        <c:axId val="1749039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06979"/>
      </c:catAx>
      <c:valAx>
        <c:axId val="81406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039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161925</xdr:rowOff>
    </xdr:from>
    <xdr:ext cx="15373350" cy="51816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1238250</xdr:colOff>
      <xdr:row>4</xdr:row>
      <xdr:rowOff>0</xdr:rowOff>
    </xdr:from>
    <xdr:ext cx="8582025" cy="596265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14401800" cy="638175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6" displayName="Entrées" name="Entrées" id="1">
  <autoFilter ref="$A$1:$H$66"/>
  <tableColumns count="8">
    <tableColumn name="Date" id="1"/>
    <tableColumn name="Dénomination" id="2"/>
    <tableColumn name="Type" id="3"/>
    <tableColumn name="Spécification" id="4"/>
    <tableColumn name="Facture" id="5"/>
    <tableColumn name="Effectué par" id="6"/>
    <tableColumn name="Montant TTC" id="7"/>
    <tableColumn name="Notes" id="8"/>
  </tableColumns>
  <tableStyleInfo name="Entrées-style" showColumnStripes="0" showFirstColumn="1" showLastColumn="1" showRowStripes="1"/>
</table>
</file>

<file path=xl/tables/table2.xml><?xml version="1.0" encoding="utf-8"?>
<table xmlns="http://schemas.openxmlformats.org/spreadsheetml/2006/main" ref="A1:H67" displayName="Sorties" name="Sorties" id="2">
  <tableColumns count="8">
    <tableColumn name="Date" id="1"/>
    <tableColumn name="Dénomination" id="2"/>
    <tableColumn name="Type" id="3"/>
    <tableColumn name="Spécification" id="4"/>
    <tableColumn name="Facture" id="5"/>
    <tableColumn name="Effectué par" id="6"/>
    <tableColumn name="Coût TTC" id="7"/>
    <tableColumn name="Notes" id="8"/>
  </tableColumns>
  <tableStyleInfo name="Sorties-style" showColumnStripes="0" showFirstColumn="1" showLastColumn="1" showRowStripes="1"/>
</table>
</file>

<file path=xl/tables/table3.xml><?xml version="1.0" encoding="utf-8"?>
<table xmlns="http://schemas.openxmlformats.org/spreadsheetml/2006/main" ref="A1:I119" displayName="Prévisions" name="Prévisions" id="3">
  <tableColumns count="9">
    <tableColumn name="0" id="1"/>
    <tableColumn name="Dénomination" id="2"/>
    <tableColumn name="Type" id="3"/>
    <tableColumn name="Spécification" id="4"/>
    <tableColumn name="Effectué par" id="5"/>
    <tableColumn name="E / S" id="6"/>
    <tableColumn name="Coût TTC" id="7"/>
    <tableColumn name="Lien" id="8"/>
    <tableColumn name="Notes" id="9"/>
  </tableColumns>
  <tableStyleInfo name="Prévis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delms.leo@gmail.com" TargetMode="External"/><Relationship Id="rId42" Type="http://schemas.openxmlformats.org/officeDocument/2006/relationships/hyperlink" Target="mailto:delms.leo@gmail.com" TargetMode="External"/><Relationship Id="rId41" Type="http://schemas.openxmlformats.org/officeDocument/2006/relationships/hyperlink" Target="mailto:delms.leo@gmail.com" TargetMode="External"/><Relationship Id="rId44" Type="http://schemas.openxmlformats.org/officeDocument/2006/relationships/hyperlink" Target="mailto:delms.leo@gmail.com" TargetMode="External"/><Relationship Id="rId43" Type="http://schemas.openxmlformats.org/officeDocument/2006/relationships/hyperlink" Target="mailto:delms.leo@gmail.com" TargetMode="External"/><Relationship Id="rId46" Type="http://schemas.openxmlformats.org/officeDocument/2006/relationships/hyperlink" Target="mailto:delms.leo@gmail.com" TargetMode="External"/><Relationship Id="rId45" Type="http://schemas.openxmlformats.org/officeDocument/2006/relationships/hyperlink" Target="mailto:delms.leo@gmail.com" TargetMode="External"/><Relationship Id="rId1" Type="http://schemas.openxmlformats.org/officeDocument/2006/relationships/hyperlink" Target="https://drive.google.com/file/d/18yH0HvjjfaQdjlqFNOiqIPuDQbWdEUET/view?usp=share_link" TargetMode="External"/><Relationship Id="rId2" Type="http://schemas.openxmlformats.org/officeDocument/2006/relationships/hyperlink" Target="mailto:delms.leo@gmail.com" TargetMode="External"/><Relationship Id="rId3" Type="http://schemas.openxmlformats.org/officeDocument/2006/relationships/hyperlink" Target="https://drive.google.com/file/d/1kcErjwSkPaUl3AF-Aw3ZgFoTZ6mh7vxh/view?usp=share_link" TargetMode="External"/><Relationship Id="rId4" Type="http://schemas.openxmlformats.org/officeDocument/2006/relationships/hyperlink" Target="mailto:delms.leo@gmail.com" TargetMode="External"/><Relationship Id="rId9" Type="http://schemas.openxmlformats.org/officeDocument/2006/relationships/hyperlink" Target="mailto:delms.leo@gmail.com" TargetMode="External"/><Relationship Id="rId48" Type="http://schemas.openxmlformats.org/officeDocument/2006/relationships/hyperlink" Target="mailto:delms.leo@gmail.com" TargetMode="External"/><Relationship Id="rId47" Type="http://schemas.openxmlformats.org/officeDocument/2006/relationships/hyperlink" Target="mailto:delms.leo@gmail.com" TargetMode="External"/><Relationship Id="rId49" Type="http://schemas.openxmlformats.org/officeDocument/2006/relationships/hyperlink" Target="mailto:delms.leo@gmail.com" TargetMode="External"/><Relationship Id="rId5" Type="http://schemas.openxmlformats.org/officeDocument/2006/relationships/hyperlink" Target="mailto:delms.leo@gmail.com" TargetMode="External"/><Relationship Id="rId6" Type="http://schemas.openxmlformats.org/officeDocument/2006/relationships/hyperlink" Target="https://drive.google.com/file/d/154muNdbr0be-ml9RvyOC_axn_SRTwyU8/view?usp=share_link" TargetMode="External"/><Relationship Id="rId7" Type="http://schemas.openxmlformats.org/officeDocument/2006/relationships/hyperlink" Target="mailto:delms.leo@gmail.com" TargetMode="External"/><Relationship Id="rId8" Type="http://schemas.openxmlformats.org/officeDocument/2006/relationships/hyperlink" Target="https://drive.google.com/file/d/1mxDkMt1O_5SFGxS1bOCBsvD_U7CODnn_/view?usp=share_link" TargetMode="External"/><Relationship Id="rId31" Type="http://schemas.openxmlformats.org/officeDocument/2006/relationships/hyperlink" Target="mailto:delms.leo@gmail.com" TargetMode="External"/><Relationship Id="rId30" Type="http://schemas.openxmlformats.org/officeDocument/2006/relationships/hyperlink" Target="mailto:delms.leo@gmail.com" TargetMode="External"/><Relationship Id="rId33" Type="http://schemas.openxmlformats.org/officeDocument/2006/relationships/hyperlink" Target="mailto:th.trinquier@gmail.com" TargetMode="External"/><Relationship Id="rId32" Type="http://schemas.openxmlformats.org/officeDocument/2006/relationships/hyperlink" Target="mailto:delms.leo@gmail.com" TargetMode="External"/><Relationship Id="rId35" Type="http://schemas.openxmlformats.org/officeDocument/2006/relationships/hyperlink" Target="mailto:delms.leo@gmail.com" TargetMode="External"/><Relationship Id="rId34" Type="http://schemas.openxmlformats.org/officeDocument/2006/relationships/hyperlink" Target="mailto:delms.leo@gmail.com" TargetMode="External"/><Relationship Id="rId37" Type="http://schemas.openxmlformats.org/officeDocument/2006/relationships/hyperlink" Target="mailto:delms.leo@gmail.com" TargetMode="External"/><Relationship Id="rId36" Type="http://schemas.openxmlformats.org/officeDocument/2006/relationships/hyperlink" Target="https://drive.google.com/file/d/1YXaOSfxL-5qlKvR2BUqYWKssIOTxybij/view?usp=share_link" TargetMode="External"/><Relationship Id="rId39" Type="http://schemas.openxmlformats.org/officeDocument/2006/relationships/hyperlink" Target="mailto:delms.leo@gmail.com" TargetMode="External"/><Relationship Id="rId38" Type="http://schemas.openxmlformats.org/officeDocument/2006/relationships/hyperlink" Target="mailto:delms.leo@gmail.com" TargetMode="External"/><Relationship Id="rId20" Type="http://schemas.openxmlformats.org/officeDocument/2006/relationships/hyperlink" Target="mailto:th.trinquier@gmail.com" TargetMode="External"/><Relationship Id="rId22" Type="http://schemas.openxmlformats.org/officeDocument/2006/relationships/hyperlink" Target="https://drive.google.com/file/d/1_IFWj6s0PzteoVEEZA8dZfPkGHnLcEB5/view?usp=share_link" TargetMode="External"/><Relationship Id="rId21" Type="http://schemas.openxmlformats.org/officeDocument/2006/relationships/hyperlink" Target="mailto:delms.leo@gmail.com" TargetMode="External"/><Relationship Id="rId24" Type="http://schemas.openxmlformats.org/officeDocument/2006/relationships/hyperlink" Target="mailto:delms.leo@gmail.com" TargetMode="External"/><Relationship Id="rId23" Type="http://schemas.openxmlformats.org/officeDocument/2006/relationships/hyperlink" Target="mailto:th.trinquier@gmail.com" TargetMode="External"/><Relationship Id="rId26" Type="http://schemas.openxmlformats.org/officeDocument/2006/relationships/hyperlink" Target="https://drive.google.com/file/d/1dnPDu3VP7GjW3CxQjgkbMrO0mjZhmoNB/view?usp=share_link" TargetMode="External"/><Relationship Id="rId25" Type="http://schemas.openxmlformats.org/officeDocument/2006/relationships/hyperlink" Target="mailto:delms.leo@gmail.com" TargetMode="External"/><Relationship Id="rId28" Type="http://schemas.openxmlformats.org/officeDocument/2006/relationships/hyperlink" Target="mailto:delms.leo@gmail.com" TargetMode="External"/><Relationship Id="rId27" Type="http://schemas.openxmlformats.org/officeDocument/2006/relationships/hyperlink" Target="mailto:delms.leo@gmail.com" TargetMode="External"/><Relationship Id="rId29" Type="http://schemas.openxmlformats.org/officeDocument/2006/relationships/hyperlink" Target="mailto:delms.leo@gmail.com" TargetMode="External"/><Relationship Id="rId50" Type="http://schemas.openxmlformats.org/officeDocument/2006/relationships/drawing" Target="../drawings/drawing3.xml"/><Relationship Id="rId52" Type="http://schemas.openxmlformats.org/officeDocument/2006/relationships/table" Target="../tables/table2.xml"/><Relationship Id="rId11" Type="http://schemas.openxmlformats.org/officeDocument/2006/relationships/hyperlink" Target="https://drive.google.com/file/d/1PMENpVjiwPyLNy-YcSCc9N14VweqMwJz/view?usp=share_link" TargetMode="External"/><Relationship Id="rId10" Type="http://schemas.openxmlformats.org/officeDocument/2006/relationships/hyperlink" Target="https://drive.google.com/file/d/1HFxWWBOysSjH50DSrfQz0EHMkooQrRHr/view?usp=share_link" TargetMode="External"/><Relationship Id="rId13" Type="http://schemas.openxmlformats.org/officeDocument/2006/relationships/hyperlink" Target="mailto:delms.leo@gmail.com" TargetMode="External"/><Relationship Id="rId12" Type="http://schemas.openxmlformats.org/officeDocument/2006/relationships/hyperlink" Target="https://drive.google.com/file/d/1owmVxLIqSFLdr9tV-Mu6FDT8RnQvRDvW/view?usp=share_link" TargetMode="External"/><Relationship Id="rId15" Type="http://schemas.openxmlformats.org/officeDocument/2006/relationships/hyperlink" Target="mailto:th.trinquier@gmail.com" TargetMode="External"/><Relationship Id="rId14" Type="http://schemas.openxmlformats.org/officeDocument/2006/relationships/hyperlink" Target="https://drive.google.com/file/d/13g7OeJYEv0naphgkfE45q_pe2pvhfSyp/view?usp=share_link" TargetMode="External"/><Relationship Id="rId17" Type="http://schemas.openxmlformats.org/officeDocument/2006/relationships/hyperlink" Target="mailto:delms.leo@gmail.com" TargetMode="External"/><Relationship Id="rId16" Type="http://schemas.openxmlformats.org/officeDocument/2006/relationships/hyperlink" Target="mailto:delms.leo@gmail.com" TargetMode="External"/><Relationship Id="rId19" Type="http://schemas.openxmlformats.org/officeDocument/2006/relationships/hyperlink" Target="mailto:th.trinquier@gmail.com" TargetMode="External"/><Relationship Id="rId18" Type="http://schemas.openxmlformats.org/officeDocument/2006/relationships/hyperlink" Target="https://drive.google.com/file/d/1PVhxSwPqrzGYscPiYaJd9yHsKvnINItD/view?usp=shar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delms.leo@gmail.com" TargetMode="External"/><Relationship Id="rId42" Type="http://schemas.openxmlformats.org/officeDocument/2006/relationships/hyperlink" Target="mailto:delms.leo@gmail.com" TargetMode="External"/><Relationship Id="rId41" Type="http://schemas.openxmlformats.org/officeDocument/2006/relationships/hyperlink" Target="mailto:delms.leo@gmail.com" TargetMode="External"/><Relationship Id="rId44" Type="http://schemas.openxmlformats.org/officeDocument/2006/relationships/hyperlink" Target="mailto:delms.leo@gmail.com" TargetMode="External"/><Relationship Id="rId43" Type="http://schemas.openxmlformats.org/officeDocument/2006/relationships/hyperlink" Target="mailto:delms.leo@gmail.com" TargetMode="External"/><Relationship Id="rId46" Type="http://schemas.openxmlformats.org/officeDocument/2006/relationships/hyperlink" Target="mailto:delms.leo@gmail.com" TargetMode="External"/><Relationship Id="rId45" Type="http://schemas.openxmlformats.org/officeDocument/2006/relationships/hyperlink" Target="mailto:delms.leo@gmail.com" TargetMode="External"/><Relationship Id="rId1" Type="http://schemas.openxmlformats.org/officeDocument/2006/relationships/hyperlink" Target="mailto:th.trinquier@gmail.com" TargetMode="External"/><Relationship Id="rId2" Type="http://schemas.openxmlformats.org/officeDocument/2006/relationships/hyperlink" Target="mailto:th.trinquier@gmail.com" TargetMode="External"/><Relationship Id="rId3" Type="http://schemas.openxmlformats.org/officeDocument/2006/relationships/hyperlink" Target="mailto:delms.leo@gmail.com" TargetMode="External"/><Relationship Id="rId4" Type="http://schemas.openxmlformats.org/officeDocument/2006/relationships/hyperlink" Target="mailto:delms.leo@gmail.com" TargetMode="External"/><Relationship Id="rId9" Type="http://schemas.openxmlformats.org/officeDocument/2006/relationships/hyperlink" Target="mailto:delms.leo@gmail.com" TargetMode="External"/><Relationship Id="rId48" Type="http://schemas.openxmlformats.org/officeDocument/2006/relationships/hyperlink" Target="mailto:delms.leo@gmail.com" TargetMode="External"/><Relationship Id="rId47" Type="http://schemas.openxmlformats.org/officeDocument/2006/relationships/hyperlink" Target="mailto:delms.leo@gmail.com" TargetMode="External"/><Relationship Id="rId49" Type="http://schemas.openxmlformats.org/officeDocument/2006/relationships/hyperlink" Target="https://www.leboncoin.fr/ad/photo_audio_video/2916041862" TargetMode="External"/><Relationship Id="rId5" Type="http://schemas.openxmlformats.org/officeDocument/2006/relationships/hyperlink" Target="mailto:th.trinquier@gmail.com" TargetMode="External"/><Relationship Id="rId6" Type="http://schemas.openxmlformats.org/officeDocument/2006/relationships/hyperlink" Target="mailto:corentin.lamontagne@safrangroup.com" TargetMode="External"/><Relationship Id="rId7" Type="http://schemas.openxmlformats.org/officeDocument/2006/relationships/hyperlink" Target="mailto:delms.leo@gmail.com" TargetMode="External"/><Relationship Id="rId8" Type="http://schemas.openxmlformats.org/officeDocument/2006/relationships/hyperlink" Target="mailto:delms.leo@gmail.com" TargetMode="External"/><Relationship Id="rId31" Type="http://schemas.openxmlformats.org/officeDocument/2006/relationships/hyperlink" Target="mailto:delms.leo@gmail.com" TargetMode="External"/><Relationship Id="rId30" Type="http://schemas.openxmlformats.org/officeDocument/2006/relationships/hyperlink" Target="mailto:delms.leo@gmail.com" TargetMode="External"/><Relationship Id="rId33" Type="http://schemas.openxmlformats.org/officeDocument/2006/relationships/hyperlink" Target="mailto:delms.leo@gmail.com" TargetMode="External"/><Relationship Id="rId32" Type="http://schemas.openxmlformats.org/officeDocument/2006/relationships/hyperlink" Target="mailto:delms.leo@gmail.com" TargetMode="External"/><Relationship Id="rId35" Type="http://schemas.openxmlformats.org/officeDocument/2006/relationships/hyperlink" Target="mailto:delms.leo@gmail.com" TargetMode="External"/><Relationship Id="rId34" Type="http://schemas.openxmlformats.org/officeDocument/2006/relationships/hyperlink" Target="mailto:delms.leo@gmail.com" TargetMode="External"/><Relationship Id="rId37" Type="http://schemas.openxmlformats.org/officeDocument/2006/relationships/hyperlink" Target="mailto:delms.leo@gmail.com" TargetMode="External"/><Relationship Id="rId36" Type="http://schemas.openxmlformats.org/officeDocument/2006/relationships/hyperlink" Target="mailto:th.trinquier@gmail.com" TargetMode="External"/><Relationship Id="rId39" Type="http://schemas.openxmlformats.org/officeDocument/2006/relationships/hyperlink" Target="mailto:delms.leo@gmail.com" TargetMode="External"/><Relationship Id="rId38" Type="http://schemas.openxmlformats.org/officeDocument/2006/relationships/hyperlink" Target="mailto:delms.leo@gmail.com" TargetMode="External"/><Relationship Id="rId20" Type="http://schemas.openxmlformats.org/officeDocument/2006/relationships/hyperlink" Target="mailto:delms.leo@gmail.com" TargetMode="External"/><Relationship Id="rId22" Type="http://schemas.openxmlformats.org/officeDocument/2006/relationships/hyperlink" Target="mailto:delms.leo@gmail.com" TargetMode="External"/><Relationship Id="rId21" Type="http://schemas.openxmlformats.org/officeDocument/2006/relationships/hyperlink" Target="mailto:delms.leo@gmail.com" TargetMode="External"/><Relationship Id="rId24" Type="http://schemas.openxmlformats.org/officeDocument/2006/relationships/hyperlink" Target="mailto:delms.leo@gmail.com" TargetMode="External"/><Relationship Id="rId23" Type="http://schemas.openxmlformats.org/officeDocument/2006/relationships/hyperlink" Target="mailto:delms.leo@gmail.com" TargetMode="External"/><Relationship Id="rId26" Type="http://schemas.openxmlformats.org/officeDocument/2006/relationships/hyperlink" Target="mailto:delms.leo@gmail.com" TargetMode="External"/><Relationship Id="rId25" Type="http://schemas.openxmlformats.org/officeDocument/2006/relationships/hyperlink" Target="mailto:delms.leo@gmail.com" TargetMode="External"/><Relationship Id="rId28" Type="http://schemas.openxmlformats.org/officeDocument/2006/relationships/hyperlink" Target="mailto:delms.leo@gmail.com" TargetMode="External"/><Relationship Id="rId27" Type="http://schemas.openxmlformats.org/officeDocument/2006/relationships/hyperlink" Target="mailto:delms.leo@gmail.com" TargetMode="External"/><Relationship Id="rId29" Type="http://schemas.openxmlformats.org/officeDocument/2006/relationships/hyperlink" Target="mailto:delms.leo@gmail.com" TargetMode="External"/><Relationship Id="rId50" Type="http://schemas.openxmlformats.org/officeDocument/2006/relationships/drawing" Target="../drawings/drawing4.xml"/><Relationship Id="rId52" Type="http://schemas.openxmlformats.org/officeDocument/2006/relationships/table" Target="../tables/table3.xml"/><Relationship Id="rId11" Type="http://schemas.openxmlformats.org/officeDocument/2006/relationships/hyperlink" Target="mailto:delms.leo@gmail.com" TargetMode="External"/><Relationship Id="rId10" Type="http://schemas.openxmlformats.org/officeDocument/2006/relationships/hyperlink" Target="mailto:delms.leo@gmail.com" TargetMode="External"/><Relationship Id="rId13" Type="http://schemas.openxmlformats.org/officeDocument/2006/relationships/hyperlink" Target="mailto:delms.leo@gmail.com" TargetMode="External"/><Relationship Id="rId12" Type="http://schemas.openxmlformats.org/officeDocument/2006/relationships/hyperlink" Target="mailto:delms.leo@gmail.com" TargetMode="External"/><Relationship Id="rId15" Type="http://schemas.openxmlformats.org/officeDocument/2006/relationships/hyperlink" Target="mailto:delms.leo@gmail.com" TargetMode="External"/><Relationship Id="rId14" Type="http://schemas.openxmlformats.org/officeDocument/2006/relationships/hyperlink" Target="mailto:corentinlamontagne@gmail.com" TargetMode="External"/><Relationship Id="rId17" Type="http://schemas.openxmlformats.org/officeDocument/2006/relationships/hyperlink" Target="mailto:delms.leo@gmail.com" TargetMode="External"/><Relationship Id="rId16" Type="http://schemas.openxmlformats.org/officeDocument/2006/relationships/hyperlink" Target="mailto:delms.leo@gmail.com" TargetMode="External"/><Relationship Id="rId19" Type="http://schemas.openxmlformats.org/officeDocument/2006/relationships/hyperlink" Target="mailto:delms.leo@gmail.com" TargetMode="External"/><Relationship Id="rId18" Type="http://schemas.openxmlformats.org/officeDocument/2006/relationships/hyperlink" Target="mailto:delms.leo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2.38"/>
    <col customWidth="1" min="7" max="7" width="13.25"/>
    <col customWidth="1" min="9" max="9" width="13.25"/>
    <col customWidth="1" min="12" max="12" width="14.25"/>
    <col customWidth="1" min="13" max="13" width="13.75"/>
    <col customWidth="1" min="14" max="14" width="18.13"/>
  </cols>
  <sheetData>
    <row r="1" ht="42.75" customHeight="1">
      <c r="A1" s="1" t="s">
        <v>0</v>
      </c>
      <c r="O1" s="2"/>
      <c r="P1" s="2"/>
      <c r="Q1" s="2"/>
      <c r="R1" s="2"/>
    </row>
    <row r="2">
      <c r="A2" s="3" t="s">
        <v>1</v>
      </c>
      <c r="O2" s="2"/>
      <c r="P2" s="2"/>
      <c r="Q2" s="2"/>
      <c r="R2" s="2"/>
    </row>
    <row r="3" ht="9.0" customHeight="1" outlineLevel="1">
      <c r="A3" s="4"/>
      <c r="O3" s="5"/>
      <c r="P3" s="5"/>
      <c r="Q3" s="5"/>
      <c r="R3" s="5"/>
    </row>
    <row r="4" ht="27.75" customHeight="1">
      <c r="A4" s="6"/>
      <c r="B4" s="7" t="s">
        <v>2</v>
      </c>
      <c r="C4" s="8"/>
      <c r="D4" s="9" t="s">
        <v>3</v>
      </c>
      <c r="E4" s="8"/>
      <c r="F4" s="10" t="s">
        <v>4</v>
      </c>
      <c r="G4" s="8"/>
      <c r="H4" s="11" t="s">
        <v>5</v>
      </c>
      <c r="I4" s="8"/>
      <c r="J4" s="12" t="s">
        <v>6</v>
      </c>
      <c r="K4" s="8"/>
      <c r="L4" s="12" t="s">
        <v>7</v>
      </c>
      <c r="M4" s="8"/>
      <c r="N4" s="13"/>
      <c r="O4" s="2"/>
      <c r="P4" s="2"/>
      <c r="Q4" s="2"/>
      <c r="R4" s="2"/>
    </row>
    <row r="5" ht="34.5" customHeight="1">
      <c r="B5" s="14">
        <f t="array" ref="B5">INDEX(Tresorerie!$D40:$O40,MATCH(MONTH(TODAY()),{1;2;3;4;5;6;7;8;9;10;11;12},0))</f>
        <v>1945.68</v>
      </c>
      <c r="C5" s="8"/>
      <c r="D5" s="14">
        <f t="array" ref="D5">INDEX(Tresorerie!$D82:$O82,MATCH(MONTH(TODAY()),{1;2;3;4;5;6;7;8;9;10;11;12},0))</f>
        <v>-1839.5</v>
      </c>
      <c r="E5" s="8"/>
      <c r="F5" s="14">
        <f>Tresorerie!P37</f>
        <v>7765.13</v>
      </c>
      <c r="G5" s="8"/>
      <c r="H5" s="14">
        <f>Tresorerie!P25</f>
        <v>7549.83</v>
      </c>
      <c r="I5" s="8"/>
      <c r="J5" s="14">
        <f>Tresorerie!P74</f>
        <v>6152.8</v>
      </c>
      <c r="K5" s="8"/>
      <c r="L5" s="14">
        <f>Tresorerie!P62</f>
        <v>20358.92</v>
      </c>
      <c r="M5" s="8"/>
      <c r="O5" s="2"/>
      <c r="P5" s="2"/>
      <c r="Q5" s="2"/>
      <c r="R5" s="2"/>
    </row>
    <row r="6" ht="9.0" customHeight="1" outlineLevel="1">
      <c r="A6" s="4"/>
      <c r="O6" s="5"/>
      <c r="P6" s="5"/>
      <c r="Q6" s="5"/>
      <c r="R6" s="5"/>
    </row>
    <row r="7">
      <c r="O7" s="2"/>
      <c r="P7" s="2"/>
      <c r="Q7" s="2"/>
      <c r="R7" s="2"/>
    </row>
    <row r="8" ht="21.0" customHeight="1">
      <c r="A8" s="15" t="s">
        <v>8</v>
      </c>
      <c r="O8" s="2"/>
      <c r="P8" s="2"/>
      <c r="Q8" s="2"/>
      <c r="R8" s="2"/>
    </row>
    <row r="9" ht="37.5" customHeight="1">
      <c r="A9" s="16"/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7" t="s">
        <v>14</v>
      </c>
      <c r="H9" s="17" t="s">
        <v>15</v>
      </c>
      <c r="I9" s="17" t="s">
        <v>16</v>
      </c>
      <c r="J9" s="17" t="s">
        <v>17</v>
      </c>
      <c r="K9" s="17" t="s">
        <v>18</v>
      </c>
      <c r="L9" s="17" t="s">
        <v>19</v>
      </c>
      <c r="M9" s="17" t="s">
        <v>20</v>
      </c>
      <c r="N9" s="18" t="s">
        <v>21</v>
      </c>
      <c r="O9" s="19"/>
      <c r="P9" s="20"/>
      <c r="Q9" s="20"/>
      <c r="R9" s="20"/>
    </row>
    <row r="10" ht="18.75" customHeight="1">
      <c r="A10" s="21" t="s">
        <v>22</v>
      </c>
      <c r="B10" s="22">
        <f>Tresorerie!D25</f>
        <v>3693.82</v>
      </c>
      <c r="C10" s="22">
        <f>Tresorerie!E25</f>
        <v>1270.44</v>
      </c>
      <c r="D10" s="22">
        <f>Tresorerie!F25</f>
        <v>1416.39</v>
      </c>
      <c r="E10" s="22">
        <f>Tresorerie!G25</f>
        <v>1472.04</v>
      </c>
      <c r="F10" s="22">
        <f>Tresorerie!H25</f>
        <v>468.99</v>
      </c>
      <c r="G10" s="22">
        <f>Tresorerie!I25</f>
        <v>0</v>
      </c>
      <c r="H10" s="22">
        <f>Tresorerie!J25</f>
        <v>0</v>
      </c>
      <c r="I10" s="22">
        <f>Tresorerie!K25</f>
        <v>0</v>
      </c>
      <c r="J10" s="22">
        <f>Tresorerie!L25</f>
        <v>0</v>
      </c>
      <c r="K10" s="22">
        <f>Tresorerie!M25</f>
        <v>0</v>
      </c>
      <c r="L10" s="22">
        <f>Tresorerie!N25</f>
        <v>0</v>
      </c>
      <c r="M10" s="22">
        <f>Tresorerie!O25</f>
        <v>0</v>
      </c>
      <c r="N10" s="23">
        <f>Tresorerie!P25</f>
        <v>7549.83</v>
      </c>
      <c r="O10" s="24"/>
      <c r="P10" s="2"/>
      <c r="Q10" s="2"/>
      <c r="R10" s="2"/>
    </row>
    <row r="11" ht="18.75" customHeight="1">
      <c r="A11" s="25" t="s">
        <v>23</v>
      </c>
      <c r="B11" s="26">
        <f>Tresorerie!D37</f>
        <v>2197.08</v>
      </c>
      <c r="C11" s="26">
        <f>Tresorerie!E37</f>
        <v>2530.07</v>
      </c>
      <c r="D11" s="26">
        <f>Tresorerie!F37</f>
        <v>1179.84</v>
      </c>
      <c r="E11" s="26">
        <f>Tresorerie!G37</f>
        <v>1780.4</v>
      </c>
      <c r="F11" s="26">
        <f>Tresorerie!H37</f>
        <v>906.13</v>
      </c>
      <c r="G11" s="26">
        <f>Tresorerie!I37</f>
        <v>0</v>
      </c>
      <c r="H11" s="26">
        <f>Tresorerie!J37</f>
        <v>0</v>
      </c>
      <c r="I11" s="26">
        <f>Tresorerie!K37</f>
        <v>0</v>
      </c>
      <c r="J11" s="26">
        <f>Tresorerie!L37</f>
        <v>0</v>
      </c>
      <c r="K11" s="26">
        <f>Tresorerie!M37</f>
        <v>0</v>
      </c>
      <c r="L11" s="26">
        <f>Tresorerie!N37</f>
        <v>0</v>
      </c>
      <c r="M11" s="26">
        <f>Tresorerie!O37</f>
        <v>0</v>
      </c>
      <c r="N11" s="27">
        <f>Tresorerie!P37</f>
        <v>7765.13</v>
      </c>
      <c r="O11" s="24"/>
      <c r="P11" s="2"/>
      <c r="Q11" s="2"/>
      <c r="R11" s="2"/>
    </row>
    <row r="12" ht="18.75" customHeight="1">
      <c r="A12" s="28" t="s">
        <v>24</v>
      </c>
      <c r="B12" s="29">
        <f>Tresorerie!D39</f>
        <v>-1496.74</v>
      </c>
      <c r="C12" s="29">
        <f>Tresorerie!E39</f>
        <v>1259.63</v>
      </c>
      <c r="D12" s="29">
        <f>Tresorerie!F39</f>
        <v>-236.55</v>
      </c>
      <c r="E12" s="29">
        <f>Tresorerie!G39</f>
        <v>308.36</v>
      </c>
      <c r="F12" s="29">
        <f>Tresorerie!H39</f>
        <v>437.14</v>
      </c>
      <c r="G12" s="29">
        <f>Tresorerie!I39</f>
        <v>0</v>
      </c>
      <c r="H12" s="29">
        <f>Tresorerie!J39</f>
        <v>0</v>
      </c>
      <c r="I12" s="29">
        <f>Tresorerie!K39</f>
        <v>0</v>
      </c>
      <c r="J12" s="29">
        <f>Tresorerie!L39</f>
        <v>0</v>
      </c>
      <c r="K12" s="29">
        <f>Tresorerie!M39</f>
        <v>0</v>
      </c>
      <c r="L12" s="29">
        <f>Tresorerie!N39</f>
        <v>0</v>
      </c>
      <c r="M12" s="29">
        <f>Tresorerie!O39</f>
        <v>0</v>
      </c>
      <c r="N12" s="30">
        <f>Tresorerie!P39</f>
        <v>215.3</v>
      </c>
      <c r="O12" s="24"/>
      <c r="P12" s="2"/>
      <c r="Q12" s="2"/>
      <c r="R12" s="2"/>
    </row>
    <row r="13" ht="18.75" customHeight="1">
      <c r="A13" s="31" t="s">
        <v>25</v>
      </c>
      <c r="B13" s="32">
        <f>Tresorerie!D40</f>
        <v>177.1</v>
      </c>
      <c r="C13" s="32">
        <f>Tresorerie!E40</f>
        <v>1436.73</v>
      </c>
      <c r="D13" s="32">
        <f>Tresorerie!F40</f>
        <v>1200.18</v>
      </c>
      <c r="E13" s="32">
        <f>Tresorerie!G40</f>
        <v>1508.54</v>
      </c>
      <c r="F13" s="32">
        <f>Tresorerie!H40</f>
        <v>1945.68</v>
      </c>
      <c r="G13" s="32">
        <f>Tresorerie!I40</f>
        <v>1945.68</v>
      </c>
      <c r="H13" s="32">
        <f>Tresorerie!J40</f>
        <v>1945.68</v>
      </c>
      <c r="I13" s="32">
        <f>Tresorerie!K40</f>
        <v>1945.68</v>
      </c>
      <c r="J13" s="32">
        <f>Tresorerie!L40</f>
        <v>1945.68</v>
      </c>
      <c r="K13" s="32">
        <f>Tresorerie!M40</f>
        <v>1945.68</v>
      </c>
      <c r="L13" s="32">
        <f>Tresorerie!N40</f>
        <v>1945.68</v>
      </c>
      <c r="M13" s="32">
        <f>Tresorerie!O40</f>
        <v>1945.68</v>
      </c>
      <c r="N13" s="33">
        <f>Tresorerie!P40</f>
        <v>1945.68</v>
      </c>
      <c r="O13" s="24"/>
      <c r="P13" s="2"/>
      <c r="Q13" s="2"/>
      <c r="R13" s="2"/>
    </row>
    <row r="14" ht="18.75" customHeight="1">
      <c r="A14" s="34" t="s">
        <v>26</v>
      </c>
      <c r="B14" s="35">
        <f>Tresorerie!D62</f>
        <v>0</v>
      </c>
      <c r="C14" s="35">
        <f>Tresorerie!E62</f>
        <v>0</v>
      </c>
      <c r="D14" s="35">
        <f>Tresorerie!F62</f>
        <v>0</v>
      </c>
      <c r="E14" s="35">
        <f>Tresorerie!G62</f>
        <v>0</v>
      </c>
      <c r="F14" s="35">
        <f>Tresorerie!H62</f>
        <v>1697.99</v>
      </c>
      <c r="G14" s="35">
        <f>Tresorerie!I62</f>
        <v>2412.99</v>
      </c>
      <c r="H14" s="35">
        <f>Tresorerie!J62</f>
        <v>242.99</v>
      </c>
      <c r="I14" s="35">
        <f>Tresorerie!K62</f>
        <v>2542.99</v>
      </c>
      <c r="J14" s="35">
        <f>Tresorerie!L62</f>
        <v>1902.99</v>
      </c>
      <c r="K14" s="35">
        <f>Tresorerie!M62</f>
        <v>702.99</v>
      </c>
      <c r="L14" s="35">
        <f>Tresorerie!N62</f>
        <v>3852.99</v>
      </c>
      <c r="M14" s="35">
        <f>Tresorerie!O62</f>
        <v>7002.99</v>
      </c>
      <c r="N14" s="36">
        <f>Tresorerie!P62</f>
        <v>20358.92</v>
      </c>
      <c r="O14" s="24"/>
      <c r="P14" s="2"/>
      <c r="Q14" s="2"/>
      <c r="R14" s="2"/>
    </row>
    <row r="15" ht="18.75" customHeight="1">
      <c r="A15" s="34" t="s">
        <v>27</v>
      </c>
      <c r="B15" s="35">
        <f>Tresorerie!D74</f>
        <v>0</v>
      </c>
      <c r="C15" s="35">
        <f>Tresorerie!E74</f>
        <v>0</v>
      </c>
      <c r="D15" s="35">
        <f>Tresorerie!F74</f>
        <v>0</v>
      </c>
      <c r="E15" s="35">
        <f>Tresorerie!G74</f>
        <v>0</v>
      </c>
      <c r="F15" s="35">
        <f>Tresorerie!H74</f>
        <v>0</v>
      </c>
      <c r="G15" s="35">
        <f>Tresorerie!I74</f>
        <v>325.8</v>
      </c>
      <c r="H15" s="35">
        <f>Tresorerie!J74</f>
        <v>1500</v>
      </c>
      <c r="I15" s="35">
        <f>Tresorerie!K74</f>
        <v>1327</v>
      </c>
      <c r="J15" s="35">
        <f>Tresorerie!L74</f>
        <v>3000</v>
      </c>
      <c r="K15" s="35">
        <f>Tresorerie!M74</f>
        <v>0</v>
      </c>
      <c r="L15" s="35">
        <f>Tresorerie!N74</f>
        <v>0</v>
      </c>
      <c r="M15" s="35">
        <f>Tresorerie!O74</f>
        <v>0</v>
      </c>
      <c r="N15" s="36">
        <f>Tresorerie!P74</f>
        <v>6152.8</v>
      </c>
      <c r="O15" s="24"/>
      <c r="P15" s="2"/>
      <c r="Q15" s="2"/>
      <c r="R15" s="2"/>
    </row>
    <row r="16" ht="18.75" customHeight="1">
      <c r="A16" s="37" t="s">
        <v>28</v>
      </c>
      <c r="B16" s="38">
        <f>Tresorerie!D82</f>
        <v>177.1</v>
      </c>
      <c r="C16" s="38">
        <f>Tresorerie!E82</f>
        <v>1436.73</v>
      </c>
      <c r="D16" s="38">
        <f>Tresorerie!F82</f>
        <v>1200.18</v>
      </c>
      <c r="E16" s="38">
        <f>Tresorerie!G82</f>
        <v>1508.54</v>
      </c>
      <c r="F16" s="38">
        <f>Tresorerie!H82</f>
        <v>247.69</v>
      </c>
      <c r="G16" s="38">
        <f>Tresorerie!I82</f>
        <v>-1839.5</v>
      </c>
      <c r="H16" s="38">
        <f>Tresorerie!J82</f>
        <v>-582.49</v>
      </c>
      <c r="I16" s="38">
        <f>Tresorerie!K82</f>
        <v>-1798.48</v>
      </c>
      <c r="J16" s="38">
        <f>Tresorerie!L82</f>
        <v>-701.47</v>
      </c>
      <c r="K16" s="38">
        <f>Tresorerie!M82</f>
        <v>-1404.46</v>
      </c>
      <c r="L16" s="38">
        <f>Tresorerie!N82</f>
        <v>-5257.45</v>
      </c>
      <c r="M16" s="38">
        <f>Tresorerie!O82</f>
        <v>-12260.44</v>
      </c>
      <c r="N16" s="39">
        <f>Tresorerie!P82</f>
        <v>-12260.44</v>
      </c>
      <c r="O16" s="24"/>
      <c r="P16" s="2"/>
      <c r="Q16" s="2"/>
      <c r="R16" s="2"/>
    </row>
    <row r="17" ht="18.75" customHeight="1">
      <c r="A17" s="40" t="s">
        <v>29</v>
      </c>
      <c r="B17" s="41" t="str">
        <f t="shared" ref="B17:N17" si="1">IF(B16&lt;0,"⚠️ DÉFICIT",IF(B16&lt;500,"⚡ FAIBLE","✅ OK"))</f>
        <v>⚡ FAIBLE</v>
      </c>
      <c r="C17" s="41" t="str">
        <f t="shared" si="1"/>
        <v>✅ OK</v>
      </c>
      <c r="D17" s="41" t="str">
        <f t="shared" si="1"/>
        <v>✅ OK</v>
      </c>
      <c r="E17" s="41" t="str">
        <f t="shared" si="1"/>
        <v>✅ OK</v>
      </c>
      <c r="F17" s="41" t="str">
        <f t="shared" si="1"/>
        <v>⚡ FAIBLE</v>
      </c>
      <c r="G17" s="41" t="str">
        <f t="shared" si="1"/>
        <v>⚠️ DÉFICIT</v>
      </c>
      <c r="H17" s="41" t="str">
        <f t="shared" si="1"/>
        <v>⚠️ DÉFICIT</v>
      </c>
      <c r="I17" s="41" t="str">
        <f t="shared" si="1"/>
        <v>⚠️ DÉFICIT</v>
      </c>
      <c r="J17" s="41" t="str">
        <f t="shared" si="1"/>
        <v>⚠️ DÉFICIT</v>
      </c>
      <c r="K17" s="41" t="str">
        <f t="shared" si="1"/>
        <v>⚠️ DÉFICIT</v>
      </c>
      <c r="L17" s="41" t="str">
        <f t="shared" si="1"/>
        <v>⚠️ DÉFICIT</v>
      </c>
      <c r="M17" s="41" t="str">
        <f t="shared" si="1"/>
        <v>⚠️ DÉFICIT</v>
      </c>
      <c r="N17" s="42" t="str">
        <f t="shared" si="1"/>
        <v>⚠️ DÉFICIT</v>
      </c>
      <c r="O17" s="24"/>
      <c r="P17" s="2"/>
      <c r="Q17" s="2"/>
      <c r="R17" s="2"/>
    </row>
    <row r="18" ht="9.0" customHeight="1" outlineLevel="1">
      <c r="A18" s="4"/>
      <c r="O18" s="5"/>
      <c r="P18" s="5"/>
      <c r="Q18" s="5"/>
      <c r="R18" s="5"/>
    </row>
    <row r="19" ht="18.75" customHeight="1">
      <c r="A19" s="43" t="s">
        <v>30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5"/>
      <c r="O19" s="2"/>
      <c r="P19" s="2"/>
      <c r="Q19" s="2"/>
      <c r="R19" s="2"/>
    </row>
    <row r="20" ht="18.75" customHeight="1">
      <c r="A20" s="46"/>
      <c r="B20" s="47" t="s">
        <v>31</v>
      </c>
      <c r="C20" s="47" t="s">
        <v>32</v>
      </c>
      <c r="D20" s="47" t="s">
        <v>33</v>
      </c>
      <c r="E20" s="47" t="s">
        <v>34</v>
      </c>
      <c r="F20" s="47" t="s">
        <v>13</v>
      </c>
      <c r="G20" s="47" t="s">
        <v>14</v>
      </c>
      <c r="H20" s="47" t="s">
        <v>35</v>
      </c>
      <c r="I20" s="47" t="s">
        <v>36</v>
      </c>
      <c r="J20" s="47" t="s">
        <v>37</v>
      </c>
      <c r="K20" s="47" t="s">
        <v>38</v>
      </c>
      <c r="L20" s="47" t="s">
        <v>39</v>
      </c>
      <c r="M20" s="47" t="s">
        <v>40</v>
      </c>
      <c r="N20" s="48" t="s">
        <v>41</v>
      </c>
      <c r="O20" s="2"/>
      <c r="P20" s="2"/>
      <c r="Q20" s="2"/>
      <c r="R20" s="2"/>
    </row>
    <row r="21" ht="18.75" customHeight="1">
      <c r="A21" s="49" t="s">
        <v>42</v>
      </c>
      <c r="B21" s="50" t="str">
        <f>Tresorerie!D85</f>
        <v>✅ OK</v>
      </c>
      <c r="C21" s="50" t="str">
        <f>Tresorerie!E85</f>
        <v>✅ OK</v>
      </c>
      <c r="D21" s="50" t="str">
        <f>Tresorerie!F85</f>
        <v>✅ OK</v>
      </c>
      <c r="E21" s="50" t="str">
        <f>Tresorerie!G85</f>
        <v>✅ OK</v>
      </c>
      <c r="F21" s="50" t="str">
        <f>Tresorerie!H85</f>
        <v>✅ OK</v>
      </c>
      <c r="G21" s="50" t="str">
        <f>Tresorerie!I85</f>
        <v>⛔  DÉCOUVERT</v>
      </c>
      <c r="H21" s="50" t="str">
        <f>Tresorerie!J85</f>
        <v>⛔  DÉCOUVERT</v>
      </c>
      <c r="I21" s="50" t="str">
        <f>Tresorerie!K85</f>
        <v>⛔  DÉCOUVERT</v>
      </c>
      <c r="J21" s="50" t="str">
        <f>Tresorerie!L85</f>
        <v>⛔  DÉCOUVERT</v>
      </c>
      <c r="K21" s="50" t="str">
        <f>Tresorerie!M85</f>
        <v>⛔  DÉCOUVERT</v>
      </c>
      <c r="L21" s="50" t="str">
        <f>Tresorerie!N85</f>
        <v>⛔  DÉCOUVERT</v>
      </c>
      <c r="M21" s="50" t="str">
        <f>Tresorerie!O85</f>
        <v>⛔  DÉCOUVERT</v>
      </c>
      <c r="N21" s="51" t="str">
        <f>COUNTIF(B21:M21,"⛔  DÉCOUVERT")&amp;" mois à risque"</f>
        <v>7 mois à risque</v>
      </c>
      <c r="O21" s="2"/>
      <c r="P21" s="2"/>
      <c r="Q21" s="2"/>
      <c r="R21" s="2"/>
    </row>
    <row r="22">
      <c r="A22" s="2"/>
      <c r="B22" s="2"/>
      <c r="C22" s="2"/>
      <c r="D22" s="2"/>
      <c r="E22" s="2"/>
      <c r="F22" s="2"/>
      <c r="G22" s="2"/>
      <c r="H22" s="52" t="s">
        <v>43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</sheetData>
  <mergeCells count="22">
    <mergeCell ref="H4:I4"/>
    <mergeCell ref="J4:K4"/>
    <mergeCell ref="L4:M4"/>
    <mergeCell ref="N4:N5"/>
    <mergeCell ref="L5:M5"/>
    <mergeCell ref="B5:C5"/>
    <mergeCell ref="D5:E5"/>
    <mergeCell ref="F5:G5"/>
    <mergeCell ref="H5:I5"/>
    <mergeCell ref="J5:K5"/>
    <mergeCell ref="A6:N6"/>
    <mergeCell ref="A7:N7"/>
    <mergeCell ref="A8:N8"/>
    <mergeCell ref="A18:N18"/>
    <mergeCell ref="A19:N19"/>
    <mergeCell ref="A1:N1"/>
    <mergeCell ref="A2:N2"/>
    <mergeCell ref="A3:N3"/>
    <mergeCell ref="A4:A5"/>
    <mergeCell ref="B4:C4"/>
    <mergeCell ref="D4:E4"/>
    <mergeCell ref="F4:G4"/>
  </mergeCells>
  <conditionalFormatting sqref="B13:M13 B16:M16">
    <cfRule type="colorScale" priority="1">
      <colorScale>
        <cfvo type="formula" val="-1"/>
        <cfvo type="formula" val="0"/>
        <cfvo type="formula" val="5000"/>
        <color rgb="FFE67C73"/>
        <color rgb="FFFFD666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98A4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41.13"/>
    <col customWidth="1" min="3" max="3" width="22.63"/>
    <col customWidth="1" min="4" max="4" width="20.88"/>
    <col customWidth="1" min="5" max="5" width="19.75"/>
    <col customWidth="1" min="6" max="6" width="20.88"/>
    <col customWidth="1" min="7" max="7" width="15.88"/>
    <col customWidth="1" min="8" max="8" width="15.13"/>
  </cols>
  <sheetData>
    <row r="1" ht="22.5" customHeight="1">
      <c r="A1" s="53" t="s">
        <v>44</v>
      </c>
      <c r="B1" s="53" t="s">
        <v>45</v>
      </c>
      <c r="C1" s="53" t="s">
        <v>46</v>
      </c>
      <c r="D1" s="53" t="s">
        <v>47</v>
      </c>
      <c r="E1" s="53" t="s">
        <v>48</v>
      </c>
      <c r="F1" s="53" t="s">
        <v>49</v>
      </c>
      <c r="G1" s="53" t="s">
        <v>50</v>
      </c>
      <c r="H1" s="53" t="s">
        <v>51</v>
      </c>
    </row>
    <row r="2" ht="22.5" customHeight="1">
      <c r="A2" s="54">
        <v>46037.0</v>
      </c>
      <c r="B2" s="55" t="s">
        <v>52</v>
      </c>
      <c r="C2" s="56" t="s">
        <v>53</v>
      </c>
      <c r="D2" s="57" t="s">
        <v>54</v>
      </c>
      <c r="E2" s="57"/>
      <c r="F2" s="57" t="s">
        <v>55</v>
      </c>
      <c r="G2" s="58">
        <v>2197.08</v>
      </c>
      <c r="H2" s="55"/>
    </row>
    <row r="3" ht="22.5" customHeight="1">
      <c r="A3" s="54">
        <v>46056.0</v>
      </c>
      <c r="B3" s="55" t="s">
        <v>56</v>
      </c>
      <c r="C3" s="56" t="s">
        <v>53</v>
      </c>
      <c r="D3" s="57" t="s">
        <v>54</v>
      </c>
      <c r="E3" s="57"/>
      <c r="F3" s="57" t="s">
        <v>55</v>
      </c>
      <c r="G3" s="58">
        <v>2387.08</v>
      </c>
      <c r="H3" s="59"/>
    </row>
    <row r="4" ht="22.5" customHeight="1">
      <c r="A4" s="54">
        <v>46064.0</v>
      </c>
      <c r="B4" s="55" t="s">
        <v>57</v>
      </c>
      <c r="C4" s="56" t="s">
        <v>53</v>
      </c>
      <c r="D4" s="57" t="s">
        <v>54</v>
      </c>
      <c r="E4" s="57"/>
      <c r="F4" s="57" t="s">
        <v>58</v>
      </c>
      <c r="G4" s="58">
        <v>95.0</v>
      </c>
      <c r="H4" s="59"/>
    </row>
    <row r="5" ht="22.5" customHeight="1">
      <c r="A5" s="54">
        <v>46070.0</v>
      </c>
      <c r="B5" s="55" t="s">
        <v>59</v>
      </c>
      <c r="C5" s="56" t="s">
        <v>60</v>
      </c>
      <c r="D5" s="57" t="s">
        <v>60</v>
      </c>
      <c r="E5" s="57"/>
      <c r="F5" s="57" t="s">
        <v>61</v>
      </c>
      <c r="G5" s="58">
        <v>47.99</v>
      </c>
      <c r="H5" s="59"/>
    </row>
    <row r="6" ht="22.5" customHeight="1">
      <c r="A6" s="54">
        <v>46086.0</v>
      </c>
      <c r="B6" s="55" t="s">
        <v>62</v>
      </c>
      <c r="C6" s="56" t="s">
        <v>53</v>
      </c>
      <c r="D6" s="57" t="s">
        <v>54</v>
      </c>
      <c r="E6" s="60"/>
      <c r="F6" s="57" t="s">
        <v>58</v>
      </c>
      <c r="G6" s="58">
        <v>314.84</v>
      </c>
      <c r="H6" s="59"/>
    </row>
    <row r="7" ht="22.5" customHeight="1">
      <c r="A7" s="54">
        <v>46094.0</v>
      </c>
      <c r="B7" s="55" t="s">
        <v>63</v>
      </c>
      <c r="C7" s="56" t="s">
        <v>53</v>
      </c>
      <c r="D7" s="57" t="s">
        <v>54</v>
      </c>
      <c r="E7" s="57"/>
      <c r="F7" s="57" t="s">
        <v>64</v>
      </c>
      <c r="G7" s="58">
        <v>865.0</v>
      </c>
      <c r="H7" s="59"/>
    </row>
    <row r="8" ht="22.5" customHeight="1">
      <c r="A8" s="54">
        <v>46116.0</v>
      </c>
      <c r="B8" s="55" t="s">
        <v>62</v>
      </c>
      <c r="C8" s="56" t="s">
        <v>53</v>
      </c>
      <c r="D8" s="57" t="s">
        <v>54</v>
      </c>
      <c r="E8" s="57"/>
      <c r="F8" s="57" t="s">
        <v>58</v>
      </c>
      <c r="G8" s="58">
        <v>1000.0</v>
      </c>
      <c r="H8" s="59"/>
    </row>
    <row r="9" ht="22.5" customHeight="1">
      <c r="A9" s="54">
        <v>46133.0</v>
      </c>
      <c r="B9" s="55" t="s">
        <v>65</v>
      </c>
      <c r="C9" s="56" t="s">
        <v>66</v>
      </c>
      <c r="D9" s="57" t="s">
        <v>67</v>
      </c>
      <c r="E9" s="57"/>
      <c r="F9" s="57" t="s">
        <v>68</v>
      </c>
      <c r="G9" s="58">
        <v>780.4</v>
      </c>
      <c r="H9" s="59"/>
    </row>
    <row r="10" ht="22.5" customHeight="1">
      <c r="A10" s="54">
        <v>46163.0</v>
      </c>
      <c r="B10" s="55" t="s">
        <v>62</v>
      </c>
      <c r="C10" s="56" t="s">
        <v>53</v>
      </c>
      <c r="D10" s="57" t="s">
        <v>54</v>
      </c>
      <c r="E10" s="57"/>
      <c r="F10" s="57" t="s">
        <v>58</v>
      </c>
      <c r="G10" s="58">
        <v>906.13</v>
      </c>
      <c r="H10" s="59"/>
    </row>
    <row r="11" ht="22.5" customHeight="1">
      <c r="A11" s="61"/>
      <c r="B11" s="59"/>
      <c r="C11" s="62"/>
      <c r="D11" s="60"/>
      <c r="E11" s="60"/>
      <c r="F11" s="59"/>
      <c r="G11" s="63"/>
      <c r="H11" s="59"/>
    </row>
    <row r="12" ht="22.5" customHeight="1">
      <c r="A12" s="61"/>
      <c r="B12" s="59"/>
      <c r="C12" s="62"/>
      <c r="D12" s="60"/>
      <c r="E12" s="57"/>
      <c r="F12" s="59"/>
      <c r="G12" s="63"/>
      <c r="H12" s="59"/>
    </row>
    <row r="13" ht="22.5" customHeight="1">
      <c r="A13" s="61"/>
      <c r="B13" s="59"/>
      <c r="C13" s="62"/>
      <c r="D13" s="60"/>
      <c r="E13" s="60"/>
      <c r="F13" s="59"/>
      <c r="G13" s="63"/>
      <c r="H13" s="59"/>
    </row>
    <row r="14" ht="22.5" customHeight="1">
      <c r="A14" s="61"/>
      <c r="B14" s="59"/>
      <c r="C14" s="62"/>
      <c r="D14" s="60"/>
      <c r="E14" s="60"/>
      <c r="F14" s="59"/>
      <c r="G14" s="63"/>
      <c r="H14" s="59"/>
    </row>
    <row r="15" ht="22.5" customHeight="1">
      <c r="A15" s="61"/>
      <c r="B15" s="59"/>
      <c r="C15" s="62"/>
      <c r="D15" s="60"/>
      <c r="E15" s="57"/>
      <c r="F15" s="59"/>
      <c r="G15" s="63"/>
      <c r="H15" s="59"/>
    </row>
    <row r="16" ht="22.5" customHeight="1">
      <c r="A16" s="61"/>
      <c r="B16" s="59"/>
      <c r="C16" s="62"/>
      <c r="D16" s="60"/>
      <c r="E16" s="60"/>
      <c r="F16" s="59"/>
      <c r="G16" s="63"/>
      <c r="H16" s="59"/>
    </row>
    <row r="17" ht="22.5" customHeight="1">
      <c r="A17" s="61"/>
      <c r="B17" s="59"/>
      <c r="C17" s="62"/>
      <c r="D17" s="60"/>
      <c r="E17" s="60"/>
      <c r="F17" s="59"/>
      <c r="G17" s="63"/>
      <c r="H17" s="59"/>
    </row>
    <row r="18" ht="22.5" customHeight="1">
      <c r="A18" s="61"/>
      <c r="B18" s="59"/>
      <c r="C18" s="62"/>
      <c r="D18" s="60"/>
      <c r="E18" s="57"/>
      <c r="F18" s="59"/>
      <c r="G18" s="63"/>
      <c r="H18" s="59"/>
    </row>
    <row r="19" ht="22.5" customHeight="1">
      <c r="A19" s="61"/>
      <c r="B19" s="59"/>
      <c r="C19" s="62"/>
      <c r="D19" s="60"/>
      <c r="E19" s="60"/>
      <c r="F19" s="59"/>
      <c r="G19" s="63"/>
      <c r="H19" s="59"/>
    </row>
    <row r="20" ht="22.5" customHeight="1">
      <c r="A20" s="61"/>
      <c r="B20" s="59"/>
      <c r="C20" s="62"/>
      <c r="D20" s="60"/>
      <c r="E20" s="60"/>
      <c r="F20" s="59"/>
      <c r="G20" s="63"/>
      <c r="H20" s="59"/>
    </row>
    <row r="21" ht="22.5" customHeight="1">
      <c r="A21" s="61"/>
      <c r="B21" s="59"/>
      <c r="C21" s="62"/>
      <c r="D21" s="60"/>
      <c r="E21" s="60"/>
      <c r="F21" s="59"/>
      <c r="G21" s="63"/>
      <c r="H21" s="59"/>
    </row>
    <row r="22" ht="22.5" customHeight="1">
      <c r="A22" s="61"/>
      <c r="B22" s="59"/>
      <c r="C22" s="62"/>
      <c r="D22" s="60"/>
      <c r="E22" s="60"/>
      <c r="F22" s="59"/>
      <c r="G22" s="63"/>
      <c r="H22" s="59"/>
    </row>
    <row r="23" ht="22.5" customHeight="1">
      <c r="A23" s="61"/>
      <c r="B23" s="59"/>
      <c r="C23" s="62"/>
      <c r="D23" s="60"/>
      <c r="E23" s="60"/>
      <c r="F23" s="59"/>
      <c r="G23" s="63"/>
      <c r="H23" s="59"/>
    </row>
    <row r="24" ht="22.5" customHeight="1">
      <c r="A24" s="61"/>
      <c r="B24" s="59"/>
      <c r="C24" s="62"/>
      <c r="D24" s="60"/>
      <c r="E24" s="60"/>
      <c r="F24" s="59"/>
      <c r="G24" s="63"/>
      <c r="H24" s="59"/>
    </row>
    <row r="25" ht="22.5" customHeight="1">
      <c r="A25" s="61"/>
      <c r="B25" s="59"/>
      <c r="C25" s="62"/>
      <c r="D25" s="60"/>
      <c r="E25" s="60"/>
      <c r="F25" s="59"/>
      <c r="G25" s="63"/>
      <c r="H25" s="59"/>
    </row>
    <row r="26" ht="22.5" customHeight="1">
      <c r="A26" s="61"/>
      <c r="B26" s="59"/>
      <c r="C26" s="62"/>
      <c r="D26" s="60"/>
      <c r="E26" s="60"/>
      <c r="F26" s="59"/>
      <c r="G26" s="63"/>
      <c r="H26" s="59"/>
    </row>
    <row r="27" ht="22.5" customHeight="1">
      <c r="A27" s="61"/>
      <c r="B27" s="59"/>
      <c r="C27" s="62"/>
      <c r="D27" s="60"/>
      <c r="E27" s="60"/>
      <c r="F27" s="59"/>
      <c r="G27" s="63"/>
      <c r="H27" s="59"/>
    </row>
    <row r="28" ht="22.5" customHeight="1">
      <c r="A28" s="61"/>
      <c r="B28" s="59"/>
      <c r="C28" s="62"/>
      <c r="D28" s="60"/>
      <c r="E28" s="60"/>
      <c r="F28" s="59"/>
      <c r="G28" s="63"/>
      <c r="H28" s="59"/>
    </row>
    <row r="29" ht="22.5" customHeight="1">
      <c r="A29" s="61"/>
      <c r="B29" s="59"/>
      <c r="C29" s="62"/>
      <c r="D29" s="60"/>
      <c r="E29" s="60"/>
      <c r="F29" s="59"/>
      <c r="G29" s="63"/>
      <c r="H29" s="59"/>
    </row>
    <row r="30" ht="22.5" customHeight="1">
      <c r="A30" s="61"/>
      <c r="B30" s="59"/>
      <c r="C30" s="62"/>
      <c r="D30" s="60"/>
      <c r="E30" s="60"/>
      <c r="F30" s="59"/>
      <c r="G30" s="63"/>
      <c r="H30" s="59"/>
    </row>
    <row r="31" ht="22.5" customHeight="1">
      <c r="A31" s="61"/>
      <c r="B31" s="59"/>
      <c r="C31" s="62"/>
      <c r="D31" s="60"/>
      <c r="E31" s="60"/>
      <c r="F31" s="59"/>
      <c r="G31" s="63"/>
      <c r="H31" s="59"/>
    </row>
    <row r="32" ht="22.5" customHeight="1">
      <c r="A32" s="61"/>
      <c r="B32" s="59"/>
      <c r="C32" s="62"/>
      <c r="D32" s="60"/>
      <c r="E32" s="60"/>
      <c r="F32" s="59"/>
      <c r="G32" s="63"/>
      <c r="H32" s="59"/>
    </row>
    <row r="33" ht="22.5" customHeight="1">
      <c r="A33" s="61"/>
      <c r="B33" s="59"/>
      <c r="C33" s="62"/>
      <c r="D33" s="60"/>
      <c r="E33" s="60"/>
      <c r="F33" s="59"/>
      <c r="G33" s="63"/>
      <c r="H33" s="59"/>
    </row>
    <row r="34" ht="22.5" customHeight="1">
      <c r="A34" s="61"/>
      <c r="B34" s="59"/>
      <c r="C34" s="62"/>
      <c r="D34" s="60"/>
      <c r="E34" s="60"/>
      <c r="F34" s="59"/>
      <c r="G34" s="63"/>
      <c r="H34" s="59"/>
    </row>
    <row r="35" ht="22.5" customHeight="1">
      <c r="A35" s="61"/>
      <c r="B35" s="59"/>
      <c r="C35" s="62"/>
      <c r="D35" s="60"/>
      <c r="E35" s="60"/>
      <c r="F35" s="59"/>
      <c r="G35" s="63"/>
      <c r="H35" s="59"/>
    </row>
    <row r="36" ht="22.5" customHeight="1">
      <c r="A36" s="61"/>
      <c r="B36" s="59"/>
      <c r="C36" s="62"/>
      <c r="D36" s="60"/>
      <c r="E36" s="60"/>
      <c r="F36" s="59"/>
      <c r="G36" s="63"/>
      <c r="H36" s="59"/>
    </row>
    <row r="37" ht="22.5" customHeight="1">
      <c r="A37" s="61"/>
      <c r="B37" s="59"/>
      <c r="C37" s="62"/>
      <c r="D37" s="60"/>
      <c r="E37" s="60"/>
      <c r="F37" s="59"/>
      <c r="G37" s="63"/>
      <c r="H37" s="59"/>
    </row>
    <row r="38" ht="22.5" customHeight="1">
      <c r="A38" s="61"/>
      <c r="B38" s="59"/>
      <c r="C38" s="62"/>
      <c r="D38" s="60"/>
      <c r="E38" s="60"/>
      <c r="F38" s="59"/>
      <c r="G38" s="63"/>
      <c r="H38" s="59"/>
    </row>
    <row r="39" ht="22.5" customHeight="1">
      <c r="A39" s="61"/>
      <c r="B39" s="59"/>
      <c r="C39" s="62"/>
      <c r="D39" s="60"/>
      <c r="E39" s="60"/>
      <c r="F39" s="59"/>
      <c r="G39" s="63"/>
      <c r="H39" s="59"/>
    </row>
    <row r="40" ht="22.5" customHeight="1">
      <c r="A40" s="61"/>
      <c r="B40" s="59"/>
      <c r="C40" s="62"/>
      <c r="D40" s="60"/>
      <c r="E40" s="60"/>
      <c r="F40" s="59"/>
      <c r="G40" s="63"/>
      <c r="H40" s="59"/>
    </row>
    <row r="41" ht="22.5" customHeight="1">
      <c r="A41" s="61"/>
      <c r="B41" s="59"/>
      <c r="C41" s="62"/>
      <c r="D41" s="60"/>
      <c r="E41" s="60"/>
      <c r="F41" s="59"/>
      <c r="G41" s="63"/>
      <c r="H41" s="59"/>
    </row>
    <row r="42" ht="22.5" customHeight="1">
      <c r="A42" s="61"/>
      <c r="B42" s="59"/>
      <c r="C42" s="62"/>
      <c r="D42" s="60"/>
      <c r="E42" s="60"/>
      <c r="F42" s="59"/>
      <c r="G42" s="63"/>
      <c r="H42" s="59"/>
    </row>
    <row r="43" ht="22.5" customHeight="1">
      <c r="A43" s="61"/>
      <c r="B43" s="59"/>
      <c r="C43" s="62"/>
      <c r="D43" s="60"/>
      <c r="E43" s="60"/>
      <c r="F43" s="59"/>
      <c r="G43" s="63"/>
      <c r="H43" s="59"/>
    </row>
    <row r="44" ht="22.5" customHeight="1">
      <c r="A44" s="61"/>
      <c r="B44" s="59"/>
      <c r="C44" s="62"/>
      <c r="D44" s="60"/>
      <c r="E44" s="60"/>
      <c r="F44" s="59"/>
      <c r="G44" s="63"/>
      <c r="H44" s="59"/>
    </row>
    <row r="45" ht="22.5" customHeight="1">
      <c r="A45" s="61"/>
      <c r="B45" s="59"/>
      <c r="C45" s="62"/>
      <c r="D45" s="60"/>
      <c r="E45" s="60"/>
      <c r="F45" s="59"/>
      <c r="G45" s="63"/>
      <c r="H45" s="59"/>
    </row>
    <row r="46" ht="22.5" customHeight="1">
      <c r="A46" s="61"/>
      <c r="B46" s="59"/>
      <c r="C46" s="62"/>
      <c r="D46" s="60"/>
      <c r="E46" s="60"/>
      <c r="F46" s="59"/>
      <c r="G46" s="63"/>
      <c r="H46" s="59"/>
    </row>
    <row r="47" ht="22.5" customHeight="1">
      <c r="A47" s="61"/>
      <c r="B47" s="59"/>
      <c r="C47" s="62"/>
      <c r="D47" s="60"/>
      <c r="E47" s="60"/>
      <c r="F47" s="59"/>
      <c r="G47" s="63"/>
      <c r="H47" s="59"/>
    </row>
    <row r="48" ht="22.5" customHeight="1">
      <c r="A48" s="61"/>
      <c r="B48" s="59"/>
      <c r="C48" s="62"/>
      <c r="D48" s="60"/>
      <c r="E48" s="60"/>
      <c r="F48" s="59"/>
      <c r="G48" s="63"/>
      <c r="H48" s="59"/>
    </row>
    <row r="49" ht="22.5" customHeight="1">
      <c r="A49" s="61"/>
      <c r="B49" s="59"/>
      <c r="C49" s="62"/>
      <c r="D49" s="60"/>
      <c r="E49" s="60"/>
      <c r="F49" s="59"/>
      <c r="G49" s="63"/>
      <c r="H49" s="59"/>
    </row>
    <row r="50" ht="22.5" customHeight="1">
      <c r="A50" s="61"/>
      <c r="B50" s="59"/>
      <c r="C50" s="62"/>
      <c r="D50" s="60"/>
      <c r="E50" s="60"/>
      <c r="F50" s="59"/>
      <c r="G50" s="63"/>
      <c r="H50" s="59"/>
    </row>
    <row r="51" ht="22.5" customHeight="1">
      <c r="A51" s="61"/>
      <c r="B51" s="59"/>
      <c r="C51" s="62"/>
      <c r="D51" s="60"/>
      <c r="E51" s="60"/>
      <c r="F51" s="59"/>
      <c r="G51" s="63"/>
      <c r="H51" s="59"/>
    </row>
    <row r="52" ht="22.5" customHeight="1">
      <c r="A52" s="61"/>
      <c r="B52" s="59"/>
      <c r="C52" s="62"/>
      <c r="D52" s="60"/>
      <c r="E52" s="60"/>
      <c r="F52" s="59"/>
      <c r="G52" s="63"/>
      <c r="H52" s="59"/>
    </row>
    <row r="53" ht="22.5" customHeight="1">
      <c r="A53" s="61"/>
      <c r="B53" s="59"/>
      <c r="C53" s="62"/>
      <c r="D53" s="60"/>
      <c r="E53" s="60"/>
      <c r="F53" s="59"/>
      <c r="G53" s="63"/>
      <c r="H53" s="59"/>
    </row>
    <row r="54" ht="22.5" customHeight="1">
      <c r="A54" s="61"/>
      <c r="B54" s="59"/>
      <c r="C54" s="62"/>
      <c r="D54" s="60"/>
      <c r="E54" s="60"/>
      <c r="F54" s="59"/>
      <c r="G54" s="63"/>
      <c r="H54" s="59"/>
    </row>
    <row r="55" ht="22.5" customHeight="1">
      <c r="A55" s="61"/>
      <c r="B55" s="59"/>
      <c r="C55" s="62"/>
      <c r="D55" s="60"/>
      <c r="E55" s="60"/>
      <c r="F55" s="59"/>
      <c r="G55" s="63"/>
      <c r="H55" s="59"/>
    </row>
    <row r="56" ht="22.5" customHeight="1">
      <c r="A56" s="61"/>
      <c r="B56" s="59"/>
      <c r="C56" s="62"/>
      <c r="D56" s="60"/>
      <c r="E56" s="60"/>
      <c r="F56" s="59"/>
      <c r="G56" s="63"/>
      <c r="H56" s="59"/>
    </row>
    <row r="57" ht="22.5" customHeight="1">
      <c r="A57" s="61"/>
      <c r="B57" s="59"/>
      <c r="C57" s="62"/>
      <c r="D57" s="60"/>
      <c r="E57" s="60"/>
      <c r="F57" s="59"/>
      <c r="G57" s="63"/>
      <c r="H57" s="59"/>
    </row>
    <row r="58" ht="22.5" customHeight="1">
      <c r="A58" s="61"/>
      <c r="B58" s="59"/>
      <c r="C58" s="62"/>
      <c r="D58" s="60"/>
      <c r="E58" s="60"/>
      <c r="F58" s="59"/>
      <c r="G58" s="63"/>
      <c r="H58" s="59"/>
    </row>
    <row r="59" ht="22.5" customHeight="1">
      <c r="A59" s="61"/>
      <c r="B59" s="59"/>
      <c r="C59" s="62"/>
      <c r="D59" s="60"/>
      <c r="E59" s="60"/>
      <c r="F59" s="59"/>
      <c r="G59" s="63"/>
      <c r="H59" s="59"/>
    </row>
    <row r="60" ht="22.5" customHeight="1">
      <c r="A60" s="61"/>
      <c r="B60" s="59"/>
      <c r="C60" s="62"/>
      <c r="D60" s="60"/>
      <c r="E60" s="60"/>
      <c r="F60" s="59"/>
      <c r="G60" s="63"/>
      <c r="H60" s="59"/>
    </row>
    <row r="61" ht="22.5" customHeight="1">
      <c r="A61" s="61"/>
      <c r="B61" s="59"/>
      <c r="C61" s="62"/>
      <c r="D61" s="60"/>
      <c r="E61" s="60"/>
      <c r="F61" s="59"/>
      <c r="G61" s="63"/>
      <c r="H61" s="59"/>
    </row>
    <row r="62" ht="22.5" customHeight="1">
      <c r="A62" s="61"/>
      <c r="B62" s="59"/>
      <c r="C62" s="62"/>
      <c r="D62" s="60"/>
      <c r="E62" s="60"/>
      <c r="F62" s="59"/>
      <c r="G62" s="63"/>
      <c r="H62" s="59"/>
    </row>
    <row r="63" ht="22.5" customHeight="1">
      <c r="A63" s="61"/>
      <c r="B63" s="59"/>
      <c r="C63" s="62"/>
      <c r="D63" s="60"/>
      <c r="E63" s="60"/>
      <c r="F63" s="59"/>
      <c r="G63" s="63"/>
      <c r="H63" s="59"/>
    </row>
    <row r="64" ht="22.5" customHeight="1">
      <c r="A64" s="61"/>
      <c r="B64" s="59"/>
      <c r="C64" s="62"/>
      <c r="D64" s="60"/>
      <c r="E64" s="60"/>
      <c r="F64" s="59"/>
      <c r="G64" s="63"/>
      <c r="H64" s="59"/>
    </row>
    <row r="65" ht="22.5" customHeight="1">
      <c r="A65" s="61"/>
      <c r="B65" s="59"/>
      <c r="C65" s="62"/>
      <c r="D65" s="60"/>
      <c r="E65" s="60"/>
      <c r="F65" s="59"/>
      <c r="G65" s="63"/>
      <c r="H65" s="59"/>
    </row>
    <row r="66" ht="22.5" customHeight="1">
      <c r="A66" s="61"/>
      <c r="B66" s="59"/>
      <c r="C66" s="62"/>
      <c r="D66" s="60"/>
      <c r="E66" s="60"/>
      <c r="F66" s="59"/>
      <c r="G66" s="63"/>
      <c r="H66" s="59"/>
    </row>
  </sheetData>
  <dataValidations>
    <dataValidation type="list" allowBlank="1" showErrorMessage="1" sqref="D2:D4 D6:D8 D10">
      <formula1>"Location de matériel,Techniciens"</formula1>
    </dataValidation>
    <dataValidation type="list" allowBlank="1" showErrorMessage="1" sqref="D5">
      <formula1>"Remboursement"</formula1>
    </dataValidation>
    <dataValidation type="custom" allowBlank="1" showDropDown="1" sqref="A2:A66">
      <formula1>OR(NOT(ISERROR(DATEVALUE(A2))), AND(ISNUMBER(A2), LEFT(CELL("format", A2))="D"))</formula1>
    </dataValidation>
    <dataValidation allowBlank="1" showDropDown="1" sqref="B2:B66 H2:H66"/>
    <dataValidation type="list" allowBlank="1" showErrorMessage="1" sqref="D9">
      <formula1>"Recettes Evenement"</formula1>
    </dataValidation>
    <dataValidation type="custom" allowBlank="1" showDropDown="1" sqref="G2:G66">
      <formula1>AND(ISNUMBER(G2),(NOT(OR(NOT(ISERROR(DATEVALUE(G2))), AND(ISNUMBER(G2), LEFT(CELL("format", G2))="D")))))</formula1>
    </dataValidation>
    <dataValidation type="list" allowBlank="1" sqref="C2:C66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3C3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6.13"/>
    <col customWidth="1" min="3" max="3" width="18.5"/>
    <col customWidth="1" min="4" max="4" width="22.88"/>
    <col customWidth="1" min="5" max="5" width="22.63"/>
    <col customWidth="1" min="6" max="6" width="21.88"/>
    <col customWidth="1" min="7" max="7" width="14.0"/>
    <col customWidth="1" min="8" max="8" width="15.88"/>
  </cols>
  <sheetData>
    <row r="1" ht="22.5" customHeight="1">
      <c r="A1" s="53" t="s">
        <v>44</v>
      </c>
      <c r="B1" s="53" t="s">
        <v>45</v>
      </c>
      <c r="C1" s="53" t="s">
        <v>46</v>
      </c>
      <c r="D1" s="53" t="s">
        <v>47</v>
      </c>
      <c r="E1" s="53" t="s">
        <v>48</v>
      </c>
      <c r="F1" s="53" t="s">
        <v>49</v>
      </c>
      <c r="G1" s="53" t="s">
        <v>69</v>
      </c>
      <c r="H1" s="53" t="s">
        <v>51</v>
      </c>
    </row>
    <row r="2" ht="22.5" customHeight="1">
      <c r="A2" s="54">
        <v>46029.0</v>
      </c>
      <c r="B2" s="55" t="s">
        <v>70</v>
      </c>
      <c r="C2" s="56" t="s">
        <v>71</v>
      </c>
      <c r="D2" s="57" t="s">
        <v>72</v>
      </c>
      <c r="E2" s="64" t="s">
        <v>73</v>
      </c>
      <c r="F2" s="65" t="s">
        <v>74</v>
      </c>
      <c r="G2" s="58">
        <v>10.41</v>
      </c>
      <c r="H2" s="55"/>
    </row>
    <row r="3" ht="22.5" customHeight="1">
      <c r="A3" s="54">
        <v>46031.0</v>
      </c>
      <c r="B3" s="55" t="s">
        <v>75</v>
      </c>
      <c r="C3" s="56" t="s">
        <v>76</v>
      </c>
      <c r="D3" s="57" t="s">
        <v>77</v>
      </c>
      <c r="E3" s="64" t="s">
        <v>78</v>
      </c>
      <c r="F3" s="65" t="s">
        <v>74</v>
      </c>
      <c r="G3" s="58">
        <v>274.92</v>
      </c>
      <c r="H3" s="55"/>
    </row>
    <row r="4" ht="22.5" customHeight="1">
      <c r="A4" s="54">
        <v>46037.0</v>
      </c>
      <c r="B4" s="55" t="s">
        <v>79</v>
      </c>
      <c r="C4" s="56" t="s">
        <v>76</v>
      </c>
      <c r="D4" s="57" t="s">
        <v>80</v>
      </c>
      <c r="E4" s="60"/>
      <c r="F4" s="64" t="s">
        <v>74</v>
      </c>
      <c r="G4" s="58">
        <v>2.99</v>
      </c>
      <c r="H4" s="59"/>
    </row>
    <row r="5" ht="22.5" customHeight="1">
      <c r="A5" s="54">
        <v>46038.0</v>
      </c>
      <c r="B5" s="55" t="s">
        <v>70</v>
      </c>
      <c r="C5" s="56" t="s">
        <v>71</v>
      </c>
      <c r="D5" s="57" t="s">
        <v>72</v>
      </c>
      <c r="E5" s="64" t="s">
        <v>81</v>
      </c>
      <c r="F5" s="65" t="s">
        <v>74</v>
      </c>
      <c r="G5" s="58">
        <v>156.85</v>
      </c>
      <c r="H5" s="55"/>
    </row>
    <row r="6" ht="22.5" customHeight="1">
      <c r="A6" s="54">
        <v>46039.0</v>
      </c>
      <c r="B6" s="55" t="s">
        <v>82</v>
      </c>
      <c r="C6" s="56" t="s">
        <v>71</v>
      </c>
      <c r="D6" s="57" t="s">
        <v>54</v>
      </c>
      <c r="E6" s="64" t="s">
        <v>83</v>
      </c>
      <c r="F6" s="65" t="s">
        <v>74</v>
      </c>
      <c r="G6" s="58">
        <v>93.24</v>
      </c>
      <c r="H6" s="59"/>
    </row>
    <row r="7" ht="22.5" customHeight="1">
      <c r="A7" s="54">
        <v>46039.0</v>
      </c>
      <c r="B7" s="55" t="s">
        <v>84</v>
      </c>
      <c r="C7" s="56" t="s">
        <v>76</v>
      </c>
      <c r="D7" s="57" t="s">
        <v>85</v>
      </c>
      <c r="E7" s="64" t="s">
        <v>86</v>
      </c>
      <c r="F7" s="59"/>
      <c r="G7" s="58">
        <v>1.87</v>
      </c>
      <c r="H7" s="59"/>
    </row>
    <row r="8" ht="22.5" customHeight="1">
      <c r="A8" s="54">
        <v>46041.0</v>
      </c>
      <c r="B8" s="55" t="s">
        <v>87</v>
      </c>
      <c r="C8" s="56" t="s">
        <v>71</v>
      </c>
      <c r="D8" s="57" t="s">
        <v>54</v>
      </c>
      <c r="E8" s="64" t="s">
        <v>88</v>
      </c>
      <c r="F8" s="59"/>
      <c r="G8" s="58">
        <v>825.24</v>
      </c>
      <c r="H8" s="59"/>
    </row>
    <row r="9" ht="22.5" customHeight="1">
      <c r="A9" s="54">
        <v>46041.0</v>
      </c>
      <c r="B9" s="55" t="s">
        <v>89</v>
      </c>
      <c r="C9" s="56" t="s">
        <v>90</v>
      </c>
      <c r="D9" s="57" t="s">
        <v>91</v>
      </c>
      <c r="E9" s="60"/>
      <c r="F9" s="59"/>
      <c r="G9" s="58">
        <v>19.75</v>
      </c>
      <c r="H9" s="59"/>
    </row>
    <row r="10" ht="22.5" customHeight="1">
      <c r="A10" s="54">
        <v>46044.0</v>
      </c>
      <c r="B10" s="55" t="s">
        <v>92</v>
      </c>
      <c r="C10" s="56" t="s">
        <v>71</v>
      </c>
      <c r="D10" s="57" t="s">
        <v>72</v>
      </c>
      <c r="E10" s="64" t="s">
        <v>93</v>
      </c>
      <c r="F10" s="64" t="s">
        <v>74</v>
      </c>
      <c r="G10" s="58">
        <v>13.07</v>
      </c>
      <c r="H10" s="59"/>
    </row>
    <row r="11" ht="22.5" customHeight="1">
      <c r="A11" s="54">
        <v>46044.0</v>
      </c>
      <c r="B11" s="55" t="s">
        <v>87</v>
      </c>
      <c r="C11" s="56" t="s">
        <v>71</v>
      </c>
      <c r="D11" s="57" t="s">
        <v>72</v>
      </c>
      <c r="E11" s="64" t="s">
        <v>94</v>
      </c>
      <c r="F11" s="64" t="s">
        <v>95</v>
      </c>
      <c r="G11" s="58">
        <v>119.0</v>
      </c>
      <c r="H11" s="59"/>
    </row>
    <row r="12" ht="22.5" customHeight="1">
      <c r="A12" s="54">
        <v>46045.0</v>
      </c>
      <c r="B12" s="55" t="s">
        <v>96</v>
      </c>
      <c r="C12" s="56" t="s">
        <v>71</v>
      </c>
      <c r="D12" s="57" t="s">
        <v>72</v>
      </c>
      <c r="E12" s="60"/>
      <c r="F12" s="64" t="s">
        <v>74</v>
      </c>
      <c r="G12" s="58">
        <v>162.6</v>
      </c>
      <c r="H12" s="59"/>
    </row>
    <row r="13" ht="22.5" customHeight="1">
      <c r="A13" s="54">
        <v>46045.0</v>
      </c>
      <c r="B13" s="55" t="s">
        <v>96</v>
      </c>
      <c r="C13" s="56" t="s">
        <v>90</v>
      </c>
      <c r="D13" s="57" t="s">
        <v>91</v>
      </c>
      <c r="E13" s="60"/>
      <c r="F13" s="64" t="s">
        <v>74</v>
      </c>
      <c r="G13" s="58">
        <v>547.36</v>
      </c>
      <c r="H13" s="59"/>
    </row>
    <row r="14" ht="22.5" customHeight="1">
      <c r="A14" s="54">
        <v>46045.0</v>
      </c>
      <c r="B14" s="55" t="s">
        <v>70</v>
      </c>
      <c r="C14" s="56" t="s">
        <v>71</v>
      </c>
      <c r="D14" s="57" t="s">
        <v>72</v>
      </c>
      <c r="E14" s="64" t="s">
        <v>97</v>
      </c>
      <c r="F14" s="64" t="s">
        <v>95</v>
      </c>
      <c r="G14" s="58">
        <v>24.44</v>
      </c>
      <c r="H14" s="59"/>
    </row>
    <row r="15" ht="22.5" customHeight="1">
      <c r="A15" s="54">
        <v>46046.0</v>
      </c>
      <c r="B15" s="55" t="s">
        <v>98</v>
      </c>
      <c r="C15" s="56" t="s">
        <v>90</v>
      </c>
      <c r="D15" s="57" t="s">
        <v>91</v>
      </c>
      <c r="E15" s="60"/>
      <c r="F15" s="64" t="s">
        <v>95</v>
      </c>
      <c r="G15" s="58">
        <v>1.8</v>
      </c>
      <c r="H15" s="59"/>
    </row>
    <row r="16" ht="22.5" customHeight="1">
      <c r="A16" s="54">
        <v>46047.0</v>
      </c>
      <c r="B16" s="55" t="s">
        <v>96</v>
      </c>
      <c r="C16" s="56" t="s">
        <v>71</v>
      </c>
      <c r="D16" s="57" t="s">
        <v>72</v>
      </c>
      <c r="E16" s="60"/>
      <c r="F16" s="64" t="s">
        <v>74</v>
      </c>
      <c r="G16" s="58">
        <v>1362.28</v>
      </c>
      <c r="H16" s="59"/>
    </row>
    <row r="17" ht="22.5" customHeight="1">
      <c r="A17" s="54">
        <v>46048.0</v>
      </c>
      <c r="B17" s="55" t="s">
        <v>87</v>
      </c>
      <c r="C17" s="56" t="s">
        <v>71</v>
      </c>
      <c r="D17" s="57" t="s">
        <v>54</v>
      </c>
      <c r="E17" s="64" t="s">
        <v>99</v>
      </c>
      <c r="F17" s="64" t="s">
        <v>95</v>
      </c>
      <c r="G17" s="58">
        <v>78.0</v>
      </c>
      <c r="H17" s="59"/>
    </row>
    <row r="18" ht="22.5" customHeight="1">
      <c r="A18" s="54">
        <v>46061.0</v>
      </c>
      <c r="B18" s="55" t="s">
        <v>96</v>
      </c>
      <c r="C18" s="56" t="s">
        <v>90</v>
      </c>
      <c r="D18" s="57" t="s">
        <v>91</v>
      </c>
      <c r="E18" s="60"/>
      <c r="F18" s="64" t="s">
        <v>74</v>
      </c>
      <c r="G18" s="58">
        <v>20.88</v>
      </c>
      <c r="H18" s="59"/>
    </row>
    <row r="19" ht="22.5" customHeight="1">
      <c r="A19" s="54">
        <v>46061.0</v>
      </c>
      <c r="B19" s="55" t="s">
        <v>100</v>
      </c>
      <c r="C19" s="56" t="s">
        <v>71</v>
      </c>
      <c r="D19" s="57" t="s">
        <v>72</v>
      </c>
      <c r="E19" s="60"/>
      <c r="F19" s="64" t="s">
        <v>74</v>
      </c>
      <c r="G19" s="58">
        <v>998.47</v>
      </c>
      <c r="H19" s="59"/>
    </row>
    <row r="20" ht="22.5" customHeight="1">
      <c r="A20" s="54">
        <v>46068.0</v>
      </c>
      <c r="B20" s="55" t="s">
        <v>101</v>
      </c>
      <c r="C20" s="56" t="s">
        <v>71</v>
      </c>
      <c r="D20" s="57" t="s">
        <v>72</v>
      </c>
      <c r="E20" s="64" t="s">
        <v>102</v>
      </c>
      <c r="F20" s="64" t="s">
        <v>74</v>
      </c>
      <c r="G20" s="58">
        <v>222.0</v>
      </c>
      <c r="H20" s="59"/>
    </row>
    <row r="21" ht="22.5" customHeight="1">
      <c r="A21" s="54">
        <v>46068.0</v>
      </c>
      <c r="B21" s="55" t="s">
        <v>79</v>
      </c>
      <c r="C21" s="56" t="s">
        <v>76</v>
      </c>
      <c r="D21" s="57" t="s">
        <v>80</v>
      </c>
      <c r="E21" s="60"/>
      <c r="F21" s="64" t="s">
        <v>74</v>
      </c>
      <c r="G21" s="58">
        <v>2.99</v>
      </c>
      <c r="H21" s="59"/>
    </row>
    <row r="22" ht="22.5" customHeight="1">
      <c r="A22" s="54">
        <v>46078.0</v>
      </c>
      <c r="B22" s="55" t="s">
        <v>103</v>
      </c>
      <c r="C22" s="56" t="s">
        <v>90</v>
      </c>
      <c r="D22" s="57" t="s">
        <v>104</v>
      </c>
      <c r="E22" s="60"/>
      <c r="F22" s="64" t="s">
        <v>74</v>
      </c>
      <c r="G22" s="58">
        <v>26.1</v>
      </c>
      <c r="H22" s="59"/>
    </row>
    <row r="23" ht="22.5" customHeight="1">
      <c r="A23" s="54">
        <v>46085.0</v>
      </c>
      <c r="B23" s="55" t="s">
        <v>70</v>
      </c>
      <c r="C23" s="56" t="s">
        <v>71</v>
      </c>
      <c r="D23" s="57" t="s">
        <v>72</v>
      </c>
      <c r="E23" s="60"/>
      <c r="F23" s="64" t="s">
        <v>74</v>
      </c>
      <c r="G23" s="58">
        <v>3.5</v>
      </c>
      <c r="H23" s="59"/>
    </row>
    <row r="24" ht="22.5" customHeight="1">
      <c r="A24" s="54">
        <v>46085.0</v>
      </c>
      <c r="B24" s="55" t="s">
        <v>105</v>
      </c>
      <c r="C24" s="56" t="s">
        <v>71</v>
      </c>
      <c r="D24" s="57" t="s">
        <v>72</v>
      </c>
      <c r="E24" s="60"/>
      <c r="F24" s="64" t="s">
        <v>74</v>
      </c>
      <c r="G24" s="58">
        <v>1.0</v>
      </c>
      <c r="H24" s="59"/>
    </row>
    <row r="25" ht="22.5" customHeight="1">
      <c r="A25" s="54">
        <v>46085.0</v>
      </c>
      <c r="B25" s="55" t="s">
        <v>106</v>
      </c>
      <c r="C25" s="56" t="s">
        <v>71</v>
      </c>
      <c r="D25" s="57" t="s">
        <v>72</v>
      </c>
      <c r="E25" s="60"/>
      <c r="F25" s="64" t="s">
        <v>74</v>
      </c>
      <c r="G25" s="58">
        <v>8.5</v>
      </c>
      <c r="H25" s="59"/>
    </row>
    <row r="26" ht="22.5" customHeight="1">
      <c r="A26" s="54">
        <v>46087.0</v>
      </c>
      <c r="B26" s="55" t="s">
        <v>87</v>
      </c>
      <c r="C26" s="56" t="s">
        <v>71</v>
      </c>
      <c r="D26" s="57" t="s">
        <v>72</v>
      </c>
      <c r="E26" s="60"/>
      <c r="F26" s="64" t="s">
        <v>95</v>
      </c>
      <c r="G26" s="58">
        <v>72.9</v>
      </c>
      <c r="H26" s="59"/>
    </row>
    <row r="27" ht="22.5" customHeight="1">
      <c r="A27" s="54">
        <v>46089.0</v>
      </c>
      <c r="B27" s="55" t="s">
        <v>107</v>
      </c>
      <c r="C27" s="56" t="s">
        <v>108</v>
      </c>
      <c r="D27" s="57" t="s">
        <v>109</v>
      </c>
      <c r="E27" s="60"/>
      <c r="F27" s="64" t="s">
        <v>74</v>
      </c>
      <c r="G27" s="58">
        <v>531.0</v>
      </c>
      <c r="H27" s="59"/>
    </row>
    <row r="28" ht="22.5" customHeight="1">
      <c r="A28" s="54">
        <v>46096.0</v>
      </c>
      <c r="B28" s="55" t="s">
        <v>79</v>
      </c>
      <c r="C28" s="56" t="s">
        <v>76</v>
      </c>
      <c r="D28" s="57" t="s">
        <v>80</v>
      </c>
      <c r="E28" s="60"/>
      <c r="F28" s="64" t="s">
        <v>74</v>
      </c>
      <c r="G28" s="58">
        <v>2.99</v>
      </c>
      <c r="H28" s="59"/>
    </row>
    <row r="29" ht="22.5" customHeight="1">
      <c r="A29" s="54">
        <v>46115.0</v>
      </c>
      <c r="B29" s="55" t="s">
        <v>110</v>
      </c>
      <c r="C29" s="56" t="s">
        <v>71</v>
      </c>
      <c r="D29" s="57" t="s">
        <v>72</v>
      </c>
      <c r="E29" s="66" t="s">
        <v>111</v>
      </c>
      <c r="F29" s="64" t="s">
        <v>74</v>
      </c>
      <c r="G29" s="58">
        <v>400.0</v>
      </c>
      <c r="H29" s="59"/>
    </row>
    <row r="30" ht="22.5" customHeight="1">
      <c r="A30" s="54">
        <v>46120.0</v>
      </c>
      <c r="B30" s="55" t="s">
        <v>112</v>
      </c>
      <c r="C30" s="56" t="s">
        <v>108</v>
      </c>
      <c r="D30" s="57" t="s">
        <v>113</v>
      </c>
      <c r="E30" s="60"/>
      <c r="F30" s="64" t="s">
        <v>74</v>
      </c>
      <c r="G30" s="58">
        <v>10.0</v>
      </c>
      <c r="H30" s="59"/>
    </row>
    <row r="31" ht="22.5" customHeight="1">
      <c r="A31" s="54">
        <v>46120.0</v>
      </c>
      <c r="B31" s="55" t="s">
        <v>114</v>
      </c>
      <c r="C31" s="56" t="s">
        <v>108</v>
      </c>
      <c r="D31" s="57" t="s">
        <v>113</v>
      </c>
      <c r="E31" s="60"/>
      <c r="F31" s="64" t="s">
        <v>74</v>
      </c>
      <c r="G31" s="58">
        <v>47.7</v>
      </c>
      <c r="H31" s="59"/>
    </row>
    <row r="32" ht="22.5" customHeight="1">
      <c r="A32" s="54">
        <v>46121.0</v>
      </c>
      <c r="B32" s="55" t="s">
        <v>115</v>
      </c>
      <c r="C32" s="56" t="s">
        <v>108</v>
      </c>
      <c r="D32" s="57" t="s">
        <v>113</v>
      </c>
      <c r="E32" s="60"/>
      <c r="F32" s="64" t="s">
        <v>74</v>
      </c>
      <c r="G32" s="58">
        <v>78.25</v>
      </c>
      <c r="H32" s="59"/>
    </row>
    <row r="33" ht="22.5" customHeight="1">
      <c r="A33" s="54">
        <v>46127.0</v>
      </c>
      <c r="B33" s="55" t="s">
        <v>79</v>
      </c>
      <c r="C33" s="56" t="s">
        <v>76</v>
      </c>
      <c r="D33" s="57" t="s">
        <v>80</v>
      </c>
      <c r="E33" s="60"/>
      <c r="F33" s="64" t="s">
        <v>74</v>
      </c>
      <c r="G33" s="58">
        <v>2.99</v>
      </c>
      <c r="H33" s="59"/>
    </row>
    <row r="34" ht="22.5" customHeight="1">
      <c r="A34" s="54">
        <v>46128.0</v>
      </c>
      <c r="B34" s="55" t="s">
        <v>112</v>
      </c>
      <c r="C34" s="56" t="s">
        <v>108</v>
      </c>
      <c r="D34" s="57" t="s">
        <v>113</v>
      </c>
      <c r="E34" s="60"/>
      <c r="F34" s="64" t="s">
        <v>74</v>
      </c>
      <c r="G34" s="58">
        <v>19.9</v>
      </c>
      <c r="H34" s="59"/>
    </row>
    <row r="35" ht="22.5" customHeight="1">
      <c r="A35" s="54">
        <v>46132.0</v>
      </c>
      <c r="B35" s="55" t="s">
        <v>116</v>
      </c>
      <c r="C35" s="56" t="s">
        <v>108</v>
      </c>
      <c r="D35" s="57" t="s">
        <v>117</v>
      </c>
      <c r="E35" s="60"/>
      <c r="F35" s="64" t="s">
        <v>74</v>
      </c>
      <c r="G35" s="58">
        <v>150.0</v>
      </c>
      <c r="H35" s="59"/>
    </row>
    <row r="36" ht="22.5" customHeight="1">
      <c r="A36" s="54">
        <v>46140.0</v>
      </c>
      <c r="B36" s="55" t="s">
        <v>118</v>
      </c>
      <c r="C36" s="56" t="s">
        <v>108</v>
      </c>
      <c r="D36" s="57" t="s">
        <v>113</v>
      </c>
      <c r="E36" s="60"/>
      <c r="F36" s="64" t="s">
        <v>74</v>
      </c>
      <c r="G36" s="58">
        <v>150.0</v>
      </c>
      <c r="H36" s="59"/>
    </row>
    <row r="37" ht="22.5" customHeight="1">
      <c r="A37" s="54">
        <v>46140.0</v>
      </c>
      <c r="B37" s="55" t="s">
        <v>87</v>
      </c>
      <c r="C37" s="56" t="s">
        <v>71</v>
      </c>
      <c r="D37" s="57" t="s">
        <v>54</v>
      </c>
      <c r="E37" s="60"/>
      <c r="F37" s="64" t="s">
        <v>74</v>
      </c>
      <c r="G37" s="58">
        <v>265.2</v>
      </c>
      <c r="H37" s="59"/>
    </row>
    <row r="38" ht="22.5" customHeight="1">
      <c r="A38" s="54">
        <v>46140.0</v>
      </c>
      <c r="B38" s="55" t="s">
        <v>87</v>
      </c>
      <c r="C38" s="56" t="s">
        <v>71</v>
      </c>
      <c r="D38" s="57" t="s">
        <v>72</v>
      </c>
      <c r="E38" s="60"/>
      <c r="F38" s="64" t="s">
        <v>74</v>
      </c>
      <c r="G38" s="58">
        <v>348.0</v>
      </c>
      <c r="H38" s="59"/>
    </row>
    <row r="39" ht="22.5" customHeight="1">
      <c r="A39" s="54">
        <v>46145.0</v>
      </c>
      <c r="B39" s="55" t="s">
        <v>119</v>
      </c>
      <c r="C39" s="56" t="s">
        <v>90</v>
      </c>
      <c r="D39" s="57" t="s">
        <v>120</v>
      </c>
      <c r="E39" s="60"/>
      <c r="F39" s="64" t="s">
        <v>74</v>
      </c>
      <c r="G39" s="58">
        <v>466.0</v>
      </c>
      <c r="H39" s="59"/>
    </row>
    <row r="40" ht="22.5" customHeight="1">
      <c r="A40" s="54">
        <v>46157.0</v>
      </c>
      <c r="B40" s="55" t="s">
        <v>79</v>
      </c>
      <c r="C40" s="56" t="s">
        <v>76</v>
      </c>
      <c r="D40" s="57" t="s">
        <v>80</v>
      </c>
      <c r="E40" s="60"/>
      <c r="F40" s="64" t="s">
        <v>74</v>
      </c>
      <c r="G40" s="58">
        <v>2.99</v>
      </c>
      <c r="H40" s="59"/>
    </row>
    <row r="41" ht="22.5" customHeight="1">
      <c r="A41" s="54">
        <v>46089.0</v>
      </c>
      <c r="B41" s="55" t="s">
        <v>121</v>
      </c>
      <c r="C41" s="56" t="s">
        <v>108</v>
      </c>
      <c r="D41" s="57" t="s">
        <v>109</v>
      </c>
      <c r="E41" s="60"/>
      <c r="F41" s="64" t="s">
        <v>74</v>
      </c>
      <c r="G41" s="58">
        <v>796.5</v>
      </c>
      <c r="H41" s="59"/>
    </row>
    <row r="42" ht="22.5" customHeight="1">
      <c r="A42" s="61"/>
      <c r="B42" s="59"/>
      <c r="C42" s="62"/>
      <c r="D42" s="60"/>
      <c r="E42" s="60"/>
      <c r="F42" s="59"/>
      <c r="G42" s="63"/>
      <c r="H42" s="59"/>
    </row>
    <row r="43" ht="22.5" customHeight="1">
      <c r="A43" s="61"/>
      <c r="B43" s="59"/>
      <c r="C43" s="62"/>
      <c r="D43" s="60"/>
      <c r="E43" s="60"/>
      <c r="F43" s="59"/>
      <c r="G43" s="63"/>
      <c r="H43" s="59"/>
    </row>
    <row r="44" ht="22.5" customHeight="1">
      <c r="A44" s="61"/>
      <c r="B44" s="59"/>
      <c r="C44" s="62"/>
      <c r="D44" s="60"/>
      <c r="E44" s="60"/>
      <c r="F44" s="59"/>
      <c r="G44" s="63"/>
      <c r="H44" s="59"/>
    </row>
    <row r="45" ht="22.5" customHeight="1">
      <c r="A45" s="61"/>
      <c r="B45" s="59"/>
      <c r="C45" s="62"/>
      <c r="D45" s="60"/>
      <c r="E45" s="60"/>
      <c r="F45" s="59"/>
      <c r="G45" s="63"/>
      <c r="H45" s="59"/>
    </row>
    <row r="46" ht="22.5" customHeight="1">
      <c r="A46" s="61"/>
      <c r="B46" s="59"/>
      <c r="C46" s="62"/>
      <c r="D46" s="60"/>
      <c r="E46" s="60"/>
      <c r="F46" s="59"/>
      <c r="G46" s="63"/>
      <c r="H46" s="59"/>
    </row>
    <row r="47" ht="22.5" customHeight="1">
      <c r="A47" s="61"/>
      <c r="B47" s="59"/>
      <c r="C47" s="62"/>
      <c r="D47" s="60"/>
      <c r="E47" s="60"/>
      <c r="F47" s="59"/>
      <c r="G47" s="63"/>
      <c r="H47" s="59"/>
    </row>
    <row r="48" ht="22.5" customHeight="1">
      <c r="A48" s="61"/>
      <c r="B48" s="59"/>
      <c r="C48" s="62"/>
      <c r="D48" s="60"/>
      <c r="E48" s="60"/>
      <c r="F48" s="59"/>
      <c r="G48" s="63"/>
      <c r="H48" s="59"/>
    </row>
    <row r="49" ht="22.5" customHeight="1">
      <c r="A49" s="61"/>
      <c r="B49" s="59"/>
      <c r="C49" s="62"/>
      <c r="D49" s="60"/>
      <c r="E49" s="60"/>
      <c r="F49" s="59"/>
      <c r="G49" s="63"/>
      <c r="H49" s="59"/>
    </row>
    <row r="50" ht="22.5" customHeight="1">
      <c r="A50" s="61"/>
      <c r="B50" s="59"/>
      <c r="C50" s="62"/>
      <c r="D50" s="60"/>
      <c r="E50" s="60"/>
      <c r="F50" s="59"/>
      <c r="G50" s="63"/>
      <c r="H50" s="59"/>
    </row>
    <row r="51" ht="22.5" customHeight="1">
      <c r="A51" s="61"/>
      <c r="B51" s="59"/>
      <c r="C51" s="62"/>
      <c r="D51" s="60"/>
      <c r="E51" s="60"/>
      <c r="F51" s="59"/>
      <c r="G51" s="63"/>
      <c r="H51" s="59"/>
    </row>
    <row r="52" ht="22.5" customHeight="1">
      <c r="A52" s="61"/>
      <c r="B52" s="59"/>
      <c r="C52" s="62"/>
      <c r="D52" s="60"/>
      <c r="E52" s="60"/>
      <c r="F52" s="59"/>
      <c r="G52" s="63"/>
      <c r="H52" s="59"/>
    </row>
    <row r="53" ht="22.5" customHeight="1">
      <c r="A53" s="61"/>
      <c r="B53" s="59"/>
      <c r="C53" s="62"/>
      <c r="D53" s="60"/>
      <c r="E53" s="60"/>
      <c r="F53" s="59"/>
      <c r="G53" s="63"/>
      <c r="H53" s="59"/>
    </row>
    <row r="54" ht="22.5" customHeight="1">
      <c r="A54" s="61"/>
      <c r="B54" s="59"/>
      <c r="C54" s="62"/>
      <c r="D54" s="60"/>
      <c r="E54" s="60"/>
      <c r="F54" s="59"/>
      <c r="G54" s="63"/>
      <c r="H54" s="59"/>
    </row>
    <row r="55" ht="22.5" customHeight="1">
      <c r="A55" s="61"/>
      <c r="B55" s="59"/>
      <c r="C55" s="62"/>
      <c r="D55" s="60"/>
      <c r="E55" s="60"/>
      <c r="F55" s="59"/>
      <c r="G55" s="63"/>
      <c r="H55" s="59"/>
    </row>
    <row r="56" ht="22.5" customHeight="1">
      <c r="A56" s="61"/>
      <c r="B56" s="59"/>
      <c r="C56" s="62"/>
      <c r="D56" s="60"/>
      <c r="E56" s="60"/>
      <c r="F56" s="59"/>
      <c r="G56" s="63"/>
      <c r="H56" s="59"/>
    </row>
    <row r="57" ht="22.5" customHeight="1">
      <c r="A57" s="61"/>
      <c r="B57" s="59"/>
      <c r="C57" s="62"/>
      <c r="D57" s="60"/>
      <c r="E57" s="60"/>
      <c r="F57" s="59"/>
      <c r="G57" s="63"/>
      <c r="H57" s="59"/>
    </row>
    <row r="58" ht="22.5" customHeight="1">
      <c r="A58" s="61"/>
      <c r="B58" s="59"/>
      <c r="C58" s="62"/>
      <c r="D58" s="60"/>
      <c r="E58" s="60"/>
      <c r="F58" s="59"/>
      <c r="G58" s="63"/>
      <c r="H58" s="59"/>
    </row>
    <row r="59" ht="22.5" customHeight="1">
      <c r="A59" s="61"/>
      <c r="B59" s="59"/>
      <c r="C59" s="62"/>
      <c r="D59" s="60"/>
      <c r="E59" s="60"/>
      <c r="F59" s="59"/>
      <c r="G59" s="63"/>
      <c r="H59" s="59"/>
    </row>
    <row r="60" ht="22.5" customHeight="1">
      <c r="A60" s="61"/>
      <c r="B60" s="59"/>
      <c r="C60" s="62"/>
      <c r="D60" s="60"/>
      <c r="E60" s="60"/>
      <c r="F60" s="59"/>
      <c r="G60" s="63"/>
      <c r="H60" s="59"/>
    </row>
    <row r="61" ht="22.5" customHeight="1">
      <c r="A61" s="61"/>
      <c r="B61" s="59"/>
      <c r="C61" s="62"/>
      <c r="D61" s="60"/>
      <c r="E61" s="60"/>
      <c r="F61" s="59"/>
      <c r="G61" s="63"/>
      <c r="H61" s="59"/>
    </row>
    <row r="62" ht="22.5" customHeight="1">
      <c r="A62" s="61"/>
      <c r="B62" s="59"/>
      <c r="C62" s="62"/>
      <c r="D62" s="60"/>
      <c r="E62" s="60"/>
      <c r="F62" s="59"/>
      <c r="G62" s="63"/>
      <c r="H62" s="59"/>
    </row>
    <row r="63" ht="22.5" customHeight="1">
      <c r="A63" s="61"/>
      <c r="B63" s="59"/>
      <c r="C63" s="62"/>
      <c r="D63" s="60"/>
      <c r="E63" s="60"/>
      <c r="F63" s="59"/>
      <c r="G63" s="63"/>
      <c r="H63" s="59"/>
    </row>
    <row r="64" ht="22.5" customHeight="1">
      <c r="A64" s="61"/>
      <c r="B64" s="59"/>
      <c r="C64" s="62"/>
      <c r="D64" s="60"/>
      <c r="E64" s="60"/>
      <c r="F64" s="59"/>
      <c r="G64" s="63"/>
      <c r="H64" s="59"/>
    </row>
    <row r="65" ht="22.5" customHeight="1">
      <c r="A65" s="61"/>
      <c r="B65" s="59"/>
      <c r="C65" s="62"/>
      <c r="D65" s="60"/>
      <c r="E65" s="60"/>
      <c r="F65" s="59"/>
      <c r="G65" s="63"/>
      <c r="H65" s="59"/>
    </row>
    <row r="66" ht="22.5" customHeight="1">
      <c r="A66" s="61"/>
      <c r="B66" s="59"/>
      <c r="C66" s="62"/>
      <c r="D66" s="60"/>
      <c r="E66" s="60"/>
      <c r="F66" s="59"/>
      <c r="G66" s="63"/>
      <c r="H66" s="59"/>
    </row>
    <row r="67" ht="22.5" customHeight="1">
      <c r="A67" s="61"/>
      <c r="B67" s="59"/>
      <c r="C67" s="62"/>
      <c r="D67" s="60"/>
      <c r="E67" s="60"/>
      <c r="F67" s="59"/>
      <c r="G67" s="63"/>
      <c r="H67" s="59"/>
    </row>
  </sheetData>
  <dataValidations>
    <dataValidation type="list" allowBlank="1" showErrorMessage="1" sqref="D3:D4 D7 D21 D28 D33 D40">
      <formula1>"Frais IT,Google Drive,Site Internet,Local,Assurance,Frais Bancaires"</formula1>
    </dataValidation>
    <dataValidation type="list" allowBlank="1" showErrorMessage="1" sqref="D27 D41">
      <formula1>"Booking DJ,Photographe/Vidéaste,DA/Graphiste"</formula1>
    </dataValidation>
    <dataValidation type="list" allowBlank="1" showErrorMessage="1" sqref="D39">
      <formula1>"Techniciens,Transport,Salle"</formula1>
    </dataValidation>
    <dataValidation type="custom" allowBlank="1" showDropDown="1" sqref="A2:A67">
      <formula1>OR(NOT(ISERROR(DATEVALUE(A2))), AND(ISNUMBER(A2), LEFT(CELL("format", A2))="D"))</formula1>
    </dataValidation>
    <dataValidation allowBlank="1" showDropDown="1" sqref="B2:B67 H2:H67"/>
    <dataValidation type="list" allowBlank="1" showErrorMessage="1" sqref="D9 D13 D15 D18 D22">
      <formula1>"Techniciens,Transport"</formula1>
    </dataValidation>
    <dataValidation type="custom" allowBlank="1" showDropDown="1" sqref="G2:G67">
      <formula1>AND(ISNUMBER(G2),(NOT(OR(NOT(ISERROR(DATEVALUE(G2))), AND(ISNUMBER(G2), LEFT(CELL("format", G2))="D")))))</formula1>
    </dataValidation>
    <dataValidation type="list" allowBlank="1" showErrorMessage="1" sqref="D30:D32 D34:D36">
      <formula1>"Booking DJ,Photographe/Vidéaste,DA/Graphiste,Communication"</formula1>
    </dataValidation>
    <dataValidation type="list" allowBlank="1" showErrorMessage="1" sqref="D2 D5:D6 D8 D10:D12 D14 D16:D17 D19:D20 D23:D26 D29 D37:D38">
      <formula1>"Achat de matériel,Frais Entretien,Location de matériel"</formula1>
    </dataValidation>
    <dataValidation type="list" allowBlank="1" sqref="C2:C67">
      <formula1>#REF!</formula1>
    </dataValidation>
  </dataValidations>
  <hyperlinks>
    <hyperlink r:id="rId1" ref="E2"/>
    <hyperlink r:id="rId2" ref="F2"/>
    <hyperlink r:id="rId3" ref="E3"/>
    <hyperlink r:id="rId4" ref="F3"/>
    <hyperlink r:id="rId5" ref="F4"/>
    <hyperlink r:id="rId6" ref="E5"/>
    <hyperlink r:id="rId7" ref="F5"/>
    <hyperlink r:id="rId8" ref="E6"/>
    <hyperlink r:id="rId9" ref="F6"/>
    <hyperlink r:id="rId10" ref="E7"/>
    <hyperlink r:id="rId11" ref="E8"/>
    <hyperlink r:id="rId12" ref="E10"/>
    <hyperlink r:id="rId13" ref="F10"/>
    <hyperlink r:id="rId14" ref="E11"/>
    <hyperlink r:id="rId15" ref="F11"/>
    <hyperlink r:id="rId16" ref="F12"/>
    <hyperlink r:id="rId17" ref="F13"/>
    <hyperlink r:id="rId18" ref="E14"/>
    <hyperlink r:id="rId19" ref="F14"/>
    <hyperlink r:id="rId20" ref="F15"/>
    <hyperlink r:id="rId21" ref="F16"/>
    <hyperlink r:id="rId22" ref="E17"/>
    <hyperlink r:id="rId23" ref="F17"/>
    <hyperlink r:id="rId24" ref="F18"/>
    <hyperlink r:id="rId25" ref="F19"/>
    <hyperlink r:id="rId26" ref="E20"/>
    <hyperlink r:id="rId27" ref="F20"/>
    <hyperlink r:id="rId28" ref="F21"/>
    <hyperlink r:id="rId29" ref="F22"/>
    <hyperlink r:id="rId30" ref="F23"/>
    <hyperlink r:id="rId31" ref="F24"/>
    <hyperlink r:id="rId32" ref="F25"/>
    <hyperlink r:id="rId33" ref="F26"/>
    <hyperlink r:id="rId34" ref="F27"/>
    <hyperlink r:id="rId35" ref="F28"/>
    <hyperlink r:id="rId36" ref="E29"/>
    <hyperlink r:id="rId37" ref="F29"/>
    <hyperlink r:id="rId38" ref="F30"/>
    <hyperlink r:id="rId39" ref="F31"/>
    <hyperlink r:id="rId40" ref="F32"/>
    <hyperlink r:id="rId41" ref="F33"/>
    <hyperlink r:id="rId42" ref="F34"/>
    <hyperlink r:id="rId43" ref="F35"/>
    <hyperlink r:id="rId44" ref="F36"/>
    <hyperlink r:id="rId45" ref="F37"/>
    <hyperlink r:id="rId46" ref="F38"/>
    <hyperlink r:id="rId47" ref="F39"/>
    <hyperlink r:id="rId48" ref="F40"/>
    <hyperlink r:id="rId49" ref="F41"/>
  </hyperlinks>
  <drawing r:id="rId50"/>
  <tableParts count="1">
    <tablePart r:id="rId5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36.88"/>
    <col customWidth="1" min="3" max="3" width="19.5"/>
    <col customWidth="1" min="4" max="4" width="18.75"/>
    <col customWidth="1" min="5" max="5" width="22.63"/>
    <col customWidth="1" min="6" max="6" width="15.88"/>
    <col customWidth="1" min="7" max="7" width="14.88"/>
    <col customWidth="1" min="8" max="8" width="22.63"/>
    <col customWidth="1" min="9" max="9" width="42.38"/>
  </cols>
  <sheetData>
    <row r="1" ht="22.5" customHeight="1">
      <c r="A1" s="53" t="s">
        <v>122</v>
      </c>
      <c r="B1" s="53" t="s">
        <v>45</v>
      </c>
      <c r="C1" s="67" t="s">
        <v>46</v>
      </c>
      <c r="D1" s="67" t="s">
        <v>47</v>
      </c>
      <c r="E1" s="53" t="s">
        <v>49</v>
      </c>
      <c r="F1" s="53" t="s">
        <v>123</v>
      </c>
      <c r="G1" s="53" t="s">
        <v>69</v>
      </c>
      <c r="H1" s="53" t="s">
        <v>124</v>
      </c>
      <c r="I1" s="53" t="s">
        <v>51</v>
      </c>
    </row>
    <row r="2" ht="22.5" customHeight="1">
      <c r="A2" s="54">
        <v>46154.0</v>
      </c>
      <c r="B2" s="55" t="s">
        <v>125</v>
      </c>
      <c r="C2" s="68" t="s">
        <v>108</v>
      </c>
      <c r="D2" s="69" t="s">
        <v>117</v>
      </c>
      <c r="E2" s="64" t="s">
        <v>126</v>
      </c>
      <c r="F2" s="56" t="s">
        <v>127</v>
      </c>
      <c r="G2" s="58">
        <v>75.0</v>
      </c>
      <c r="H2" s="60"/>
      <c r="I2" s="59"/>
    </row>
    <row r="3" ht="22.5" customHeight="1">
      <c r="A3" s="54">
        <v>46157.0</v>
      </c>
      <c r="B3" s="55" t="s">
        <v>128</v>
      </c>
      <c r="C3" s="70" t="s">
        <v>71</v>
      </c>
      <c r="D3" s="71" t="s">
        <v>72</v>
      </c>
      <c r="E3" s="64" t="s">
        <v>95</v>
      </c>
      <c r="F3" s="56" t="s">
        <v>127</v>
      </c>
      <c r="G3" s="58">
        <v>480.0</v>
      </c>
      <c r="H3" s="60"/>
      <c r="I3" s="59"/>
    </row>
    <row r="4" ht="22.5" customHeight="1">
      <c r="A4" s="54">
        <v>46157.0</v>
      </c>
      <c r="B4" s="55" t="s">
        <v>79</v>
      </c>
      <c r="C4" s="72" t="s">
        <v>76</v>
      </c>
      <c r="D4" s="69" t="s">
        <v>80</v>
      </c>
      <c r="E4" s="64" t="s">
        <v>74</v>
      </c>
      <c r="F4" s="56" t="s">
        <v>127</v>
      </c>
      <c r="G4" s="58">
        <v>2.99</v>
      </c>
      <c r="H4" s="60"/>
      <c r="I4" s="59"/>
    </row>
    <row r="5" ht="22.5" customHeight="1">
      <c r="A5" s="54">
        <v>46160.0</v>
      </c>
      <c r="B5" s="55" t="s">
        <v>129</v>
      </c>
      <c r="C5" s="70" t="s">
        <v>71</v>
      </c>
      <c r="D5" s="73" t="s">
        <v>72</v>
      </c>
      <c r="E5" s="64" t="s">
        <v>74</v>
      </c>
      <c r="F5" s="56" t="s">
        <v>127</v>
      </c>
      <c r="G5" s="58">
        <v>440.0</v>
      </c>
      <c r="H5" s="60"/>
      <c r="I5" s="59"/>
    </row>
    <row r="6" ht="22.5" customHeight="1">
      <c r="A6" s="54">
        <v>46164.0</v>
      </c>
      <c r="B6" s="55" t="s">
        <v>130</v>
      </c>
      <c r="C6" s="70" t="s">
        <v>71</v>
      </c>
      <c r="D6" s="71" t="s">
        <v>72</v>
      </c>
      <c r="E6" s="64" t="s">
        <v>95</v>
      </c>
      <c r="F6" s="56" t="s">
        <v>127</v>
      </c>
      <c r="G6" s="58">
        <v>700.0</v>
      </c>
      <c r="H6" s="60"/>
      <c r="I6" s="59"/>
    </row>
    <row r="7" ht="22.5" customHeight="1">
      <c r="A7" s="54">
        <v>46172.0</v>
      </c>
      <c r="B7" s="55" t="s">
        <v>131</v>
      </c>
      <c r="C7" s="74" t="s">
        <v>71</v>
      </c>
      <c r="D7" s="73" t="s">
        <v>72</v>
      </c>
      <c r="E7" s="64" t="s">
        <v>132</v>
      </c>
      <c r="F7" s="56" t="s">
        <v>127</v>
      </c>
      <c r="G7" s="58">
        <v>0.0</v>
      </c>
      <c r="H7" s="60"/>
      <c r="I7" s="55" t="s">
        <v>133</v>
      </c>
    </row>
    <row r="8" ht="22.5" customHeight="1">
      <c r="A8" s="54">
        <v>46179.0</v>
      </c>
      <c r="B8" s="55" t="s">
        <v>134</v>
      </c>
      <c r="C8" s="70" t="s">
        <v>90</v>
      </c>
      <c r="D8" s="75" t="s">
        <v>54</v>
      </c>
      <c r="E8" s="64" t="s">
        <v>74</v>
      </c>
      <c r="F8" s="56" t="s">
        <v>127</v>
      </c>
      <c r="G8" s="58">
        <v>120.0</v>
      </c>
      <c r="H8" s="60"/>
      <c r="I8" s="55"/>
    </row>
    <row r="9" ht="22.5" customHeight="1">
      <c r="A9" s="54">
        <v>46188.0</v>
      </c>
      <c r="B9" s="55" t="s">
        <v>79</v>
      </c>
      <c r="C9" s="72" t="s">
        <v>76</v>
      </c>
      <c r="D9" s="69" t="s">
        <v>80</v>
      </c>
      <c r="E9" s="64" t="s">
        <v>74</v>
      </c>
      <c r="F9" s="56" t="s">
        <v>127</v>
      </c>
      <c r="G9" s="58">
        <v>2.99</v>
      </c>
      <c r="H9" s="60"/>
      <c r="I9" s="59"/>
    </row>
    <row r="10" ht="22.5" customHeight="1">
      <c r="A10" s="54">
        <v>46188.0</v>
      </c>
      <c r="B10" s="55" t="s">
        <v>135</v>
      </c>
      <c r="C10" s="76" t="s">
        <v>76</v>
      </c>
      <c r="D10" s="77" t="s">
        <v>136</v>
      </c>
      <c r="E10" s="64" t="s">
        <v>74</v>
      </c>
      <c r="F10" s="56" t="s">
        <v>127</v>
      </c>
      <c r="G10" s="58">
        <v>50.0</v>
      </c>
      <c r="H10" s="60"/>
      <c r="I10" s="55" t="s">
        <v>137</v>
      </c>
    </row>
    <row r="11" ht="22.5" customHeight="1">
      <c r="A11" s="54">
        <v>46194.0</v>
      </c>
      <c r="B11" s="55" t="s">
        <v>138</v>
      </c>
      <c r="C11" s="78" t="s">
        <v>71</v>
      </c>
      <c r="D11" s="79" t="s">
        <v>54</v>
      </c>
      <c r="E11" s="64" t="s">
        <v>74</v>
      </c>
      <c r="F11" s="56" t="s">
        <v>127</v>
      </c>
      <c r="G11" s="58">
        <v>2000.0</v>
      </c>
      <c r="H11" s="60"/>
      <c r="I11" s="59"/>
    </row>
    <row r="12" ht="22.5" customHeight="1">
      <c r="A12" s="54">
        <v>46194.0</v>
      </c>
      <c r="B12" s="55" t="s">
        <v>139</v>
      </c>
      <c r="C12" s="76" t="s">
        <v>53</v>
      </c>
      <c r="D12" s="77" t="s">
        <v>54</v>
      </c>
      <c r="E12" s="64" t="s">
        <v>74</v>
      </c>
      <c r="F12" s="56" t="s">
        <v>140</v>
      </c>
      <c r="G12" s="58">
        <v>325.8</v>
      </c>
      <c r="H12" s="60"/>
      <c r="I12" s="59"/>
    </row>
    <row r="13" ht="22.5" customHeight="1">
      <c r="A13" s="54">
        <v>46194.0</v>
      </c>
      <c r="B13" s="55" t="s">
        <v>141</v>
      </c>
      <c r="C13" s="76" t="s">
        <v>71</v>
      </c>
      <c r="D13" s="77" t="s">
        <v>54</v>
      </c>
      <c r="E13" s="64" t="s">
        <v>74</v>
      </c>
      <c r="F13" s="56" t="s">
        <v>127</v>
      </c>
      <c r="G13" s="58">
        <v>240.0</v>
      </c>
      <c r="H13" s="60"/>
      <c r="I13" s="59"/>
    </row>
    <row r="14" ht="22.5" customHeight="1">
      <c r="A14" s="54">
        <v>46207.0</v>
      </c>
      <c r="B14" s="55" t="s">
        <v>142</v>
      </c>
      <c r="C14" s="76" t="s">
        <v>53</v>
      </c>
      <c r="D14" s="77" t="s">
        <v>54</v>
      </c>
      <c r="E14" s="64" t="s">
        <v>74</v>
      </c>
      <c r="F14" s="56" t="s">
        <v>140</v>
      </c>
      <c r="G14" s="58">
        <v>1500.0</v>
      </c>
      <c r="H14" s="60"/>
      <c r="I14" s="59"/>
    </row>
    <row r="15" ht="22.5" customHeight="1">
      <c r="A15" s="54">
        <v>46218.0</v>
      </c>
      <c r="B15" s="55" t="s">
        <v>143</v>
      </c>
      <c r="C15" s="76" t="s">
        <v>71</v>
      </c>
      <c r="D15" s="77" t="s">
        <v>72</v>
      </c>
      <c r="E15" s="64" t="s">
        <v>144</v>
      </c>
      <c r="F15" s="56" t="s">
        <v>127</v>
      </c>
      <c r="G15" s="58">
        <v>150.0</v>
      </c>
      <c r="H15" s="60"/>
      <c r="I15" s="55" t="s">
        <v>145</v>
      </c>
    </row>
    <row r="16" ht="22.5" customHeight="1">
      <c r="A16" s="54">
        <v>46218.0</v>
      </c>
      <c r="B16" s="55" t="s">
        <v>79</v>
      </c>
      <c r="C16" s="56" t="s">
        <v>76</v>
      </c>
      <c r="D16" s="57" t="s">
        <v>80</v>
      </c>
      <c r="E16" s="64" t="s">
        <v>74</v>
      </c>
      <c r="F16" s="56" t="s">
        <v>127</v>
      </c>
      <c r="G16" s="58">
        <v>2.99</v>
      </c>
      <c r="H16" s="60"/>
      <c r="I16" s="59"/>
    </row>
    <row r="17" ht="22.5" customHeight="1">
      <c r="A17" s="54">
        <v>46218.0</v>
      </c>
      <c r="B17" s="55" t="s">
        <v>135</v>
      </c>
      <c r="C17" s="76" t="s">
        <v>76</v>
      </c>
      <c r="D17" s="77" t="s">
        <v>136</v>
      </c>
      <c r="E17" s="64" t="s">
        <v>74</v>
      </c>
      <c r="F17" s="56" t="s">
        <v>127</v>
      </c>
      <c r="G17" s="58">
        <v>50.0</v>
      </c>
      <c r="H17" s="60"/>
      <c r="I17" s="59"/>
    </row>
    <row r="18" ht="22.5" customHeight="1">
      <c r="A18" s="54">
        <v>46234.0</v>
      </c>
      <c r="B18" s="55" t="s">
        <v>146</v>
      </c>
      <c r="C18" s="76" t="s">
        <v>76</v>
      </c>
      <c r="D18" s="77" t="s">
        <v>136</v>
      </c>
      <c r="E18" s="64" t="s">
        <v>74</v>
      </c>
      <c r="F18" s="56" t="s">
        <v>127</v>
      </c>
      <c r="G18" s="58">
        <v>40.0</v>
      </c>
      <c r="H18" s="60"/>
      <c r="I18" s="59"/>
    </row>
    <row r="19" ht="22.5" customHeight="1">
      <c r="A19" s="54">
        <v>46235.0</v>
      </c>
      <c r="B19" s="55" t="s">
        <v>147</v>
      </c>
      <c r="C19" s="76" t="s">
        <v>53</v>
      </c>
      <c r="D19" s="77" t="s">
        <v>54</v>
      </c>
      <c r="E19" s="64" t="s">
        <v>74</v>
      </c>
      <c r="F19" s="56" t="s">
        <v>140</v>
      </c>
      <c r="G19" s="58">
        <v>1327.0</v>
      </c>
      <c r="H19" s="60"/>
      <c r="I19" s="59"/>
    </row>
    <row r="20" ht="22.5" customHeight="1">
      <c r="A20" s="54">
        <v>46248.0</v>
      </c>
      <c r="B20" s="55" t="s">
        <v>148</v>
      </c>
      <c r="C20" s="80" t="s">
        <v>71</v>
      </c>
      <c r="D20" s="75" t="s">
        <v>72</v>
      </c>
      <c r="E20" s="64" t="s">
        <v>74</v>
      </c>
      <c r="F20" s="56" t="s">
        <v>127</v>
      </c>
      <c r="G20" s="58">
        <v>1400.0</v>
      </c>
      <c r="H20" s="60"/>
      <c r="I20" s="55" t="s">
        <v>149</v>
      </c>
    </row>
    <row r="21" ht="22.5" customHeight="1">
      <c r="A21" s="54">
        <v>46248.0</v>
      </c>
      <c r="B21" s="55" t="s">
        <v>150</v>
      </c>
      <c r="C21" s="76" t="s">
        <v>71</v>
      </c>
      <c r="D21" s="77" t="s">
        <v>72</v>
      </c>
      <c r="E21" s="64" t="s">
        <v>74</v>
      </c>
      <c r="F21" s="56" t="s">
        <v>127</v>
      </c>
      <c r="G21" s="58">
        <v>500.0</v>
      </c>
      <c r="H21" s="60"/>
      <c r="I21" s="59"/>
    </row>
    <row r="22" ht="22.5" customHeight="1">
      <c r="A22" s="54">
        <v>46248.0</v>
      </c>
      <c r="B22" s="55" t="s">
        <v>151</v>
      </c>
      <c r="C22" s="76" t="s">
        <v>71</v>
      </c>
      <c r="D22" s="77" t="s">
        <v>72</v>
      </c>
      <c r="E22" s="64" t="s">
        <v>74</v>
      </c>
      <c r="F22" s="56" t="s">
        <v>127</v>
      </c>
      <c r="G22" s="58">
        <v>550.0</v>
      </c>
      <c r="H22" s="60"/>
      <c r="I22" s="59"/>
    </row>
    <row r="23" ht="22.5" customHeight="1">
      <c r="A23" s="54">
        <v>46249.0</v>
      </c>
      <c r="B23" s="55" t="s">
        <v>79</v>
      </c>
      <c r="C23" s="56" t="s">
        <v>76</v>
      </c>
      <c r="D23" s="57" t="s">
        <v>80</v>
      </c>
      <c r="E23" s="64" t="s">
        <v>74</v>
      </c>
      <c r="F23" s="56" t="s">
        <v>127</v>
      </c>
      <c r="G23" s="58">
        <v>2.99</v>
      </c>
      <c r="H23" s="60"/>
      <c r="I23" s="59"/>
    </row>
    <row r="24" ht="22.5" customHeight="1">
      <c r="A24" s="54">
        <v>46249.0</v>
      </c>
      <c r="B24" s="55" t="s">
        <v>135</v>
      </c>
      <c r="C24" s="76" t="s">
        <v>76</v>
      </c>
      <c r="D24" s="77" t="s">
        <v>136</v>
      </c>
      <c r="E24" s="64" t="s">
        <v>74</v>
      </c>
      <c r="F24" s="56" t="s">
        <v>127</v>
      </c>
      <c r="G24" s="58">
        <v>50.0</v>
      </c>
      <c r="H24" s="60"/>
      <c r="I24" s="59"/>
    </row>
    <row r="25" ht="22.5" customHeight="1">
      <c r="A25" s="54">
        <v>46265.0</v>
      </c>
      <c r="B25" s="81" t="s">
        <v>146</v>
      </c>
      <c r="C25" s="82" t="s">
        <v>76</v>
      </c>
      <c r="D25" s="83" t="s">
        <v>136</v>
      </c>
      <c r="E25" s="84" t="s">
        <v>74</v>
      </c>
      <c r="F25" s="85" t="s">
        <v>127</v>
      </c>
      <c r="G25" s="86">
        <v>40.0</v>
      </c>
      <c r="H25" s="87"/>
      <c r="I25" s="59"/>
    </row>
    <row r="26" ht="22.5" customHeight="1">
      <c r="A26" s="54">
        <v>46270.0</v>
      </c>
      <c r="B26" s="55" t="s">
        <v>152</v>
      </c>
      <c r="C26" s="76" t="s">
        <v>53</v>
      </c>
      <c r="D26" s="77" t="s">
        <v>54</v>
      </c>
      <c r="E26" s="64" t="s">
        <v>74</v>
      </c>
      <c r="F26" s="56" t="s">
        <v>140</v>
      </c>
      <c r="G26" s="58">
        <v>1000.0</v>
      </c>
      <c r="H26" s="60"/>
      <c r="I26" s="59"/>
    </row>
    <row r="27" ht="22.5" customHeight="1">
      <c r="A27" s="54">
        <v>46279.0</v>
      </c>
      <c r="B27" s="55" t="s">
        <v>153</v>
      </c>
      <c r="C27" s="56" t="s">
        <v>71</v>
      </c>
      <c r="D27" s="79" t="s">
        <v>72</v>
      </c>
      <c r="E27" s="64" t="s">
        <v>74</v>
      </c>
      <c r="F27" s="56" t="s">
        <v>127</v>
      </c>
      <c r="G27" s="58">
        <v>600.0</v>
      </c>
      <c r="H27" s="60"/>
      <c r="I27" s="55" t="s">
        <v>154</v>
      </c>
    </row>
    <row r="28" ht="22.5" customHeight="1">
      <c r="A28" s="54">
        <v>46280.0</v>
      </c>
      <c r="B28" s="55" t="s">
        <v>79</v>
      </c>
      <c r="C28" s="56" t="s">
        <v>76</v>
      </c>
      <c r="D28" s="57" t="s">
        <v>80</v>
      </c>
      <c r="E28" s="64" t="s">
        <v>74</v>
      </c>
      <c r="F28" s="56" t="s">
        <v>127</v>
      </c>
      <c r="G28" s="58">
        <v>2.99</v>
      </c>
      <c r="H28" s="60"/>
      <c r="I28" s="59"/>
    </row>
    <row r="29" ht="22.5" customHeight="1">
      <c r="A29" s="54">
        <v>46280.0</v>
      </c>
      <c r="B29" s="55" t="s">
        <v>155</v>
      </c>
      <c r="C29" s="76" t="s">
        <v>76</v>
      </c>
      <c r="D29" s="77" t="s">
        <v>136</v>
      </c>
      <c r="E29" s="64" t="s">
        <v>74</v>
      </c>
      <c r="F29" s="56" t="s">
        <v>127</v>
      </c>
      <c r="G29" s="58">
        <v>300.0</v>
      </c>
      <c r="H29" s="60"/>
      <c r="I29" s="59"/>
    </row>
    <row r="30" ht="22.5" customHeight="1">
      <c r="A30" s="88">
        <v>46284.0</v>
      </c>
      <c r="B30" s="79" t="s">
        <v>156</v>
      </c>
      <c r="C30" s="89" t="s">
        <v>53</v>
      </c>
      <c r="D30" s="90" t="s">
        <v>54</v>
      </c>
      <c r="E30" s="91" t="s">
        <v>74</v>
      </c>
      <c r="F30" s="92" t="s">
        <v>140</v>
      </c>
      <c r="G30" s="93">
        <v>2000.0</v>
      </c>
      <c r="H30" s="94"/>
      <c r="I30" s="83"/>
    </row>
    <row r="31" ht="22.5" customHeight="1">
      <c r="A31" s="54">
        <v>46295.0</v>
      </c>
      <c r="B31" s="55" t="s">
        <v>157</v>
      </c>
      <c r="C31" s="80" t="s">
        <v>71</v>
      </c>
      <c r="D31" s="75" t="s">
        <v>72</v>
      </c>
      <c r="E31" s="64" t="s">
        <v>74</v>
      </c>
      <c r="F31" s="56" t="s">
        <v>127</v>
      </c>
      <c r="G31" s="58">
        <v>1000.0</v>
      </c>
      <c r="H31" s="60"/>
      <c r="I31" s="55" t="s">
        <v>154</v>
      </c>
    </row>
    <row r="32" ht="22.5" customHeight="1">
      <c r="A32" s="54">
        <v>46310.0</v>
      </c>
      <c r="B32" s="55" t="s">
        <v>79</v>
      </c>
      <c r="C32" s="56" t="s">
        <v>76</v>
      </c>
      <c r="D32" s="57" t="s">
        <v>80</v>
      </c>
      <c r="E32" s="64" t="s">
        <v>74</v>
      </c>
      <c r="F32" s="56" t="s">
        <v>127</v>
      </c>
      <c r="G32" s="58">
        <v>2.99</v>
      </c>
      <c r="H32" s="60"/>
      <c r="I32" s="59"/>
    </row>
    <row r="33" ht="22.5" customHeight="1">
      <c r="A33" s="95">
        <v>46310.0</v>
      </c>
      <c r="B33" s="96" t="s">
        <v>155</v>
      </c>
      <c r="C33" s="97" t="s">
        <v>76</v>
      </c>
      <c r="D33" s="98" t="s">
        <v>136</v>
      </c>
      <c r="E33" s="99" t="s">
        <v>74</v>
      </c>
      <c r="F33" s="68" t="s">
        <v>127</v>
      </c>
      <c r="G33" s="100">
        <v>300.0</v>
      </c>
      <c r="H33" s="101"/>
      <c r="I33" s="102"/>
    </row>
    <row r="34" ht="22.5" customHeight="1">
      <c r="A34" s="54">
        <v>46326.0</v>
      </c>
      <c r="B34" s="55" t="s">
        <v>158</v>
      </c>
      <c r="C34" s="80" t="s">
        <v>71</v>
      </c>
      <c r="D34" s="75" t="s">
        <v>72</v>
      </c>
      <c r="E34" s="64" t="s">
        <v>74</v>
      </c>
      <c r="F34" s="56" t="s">
        <v>127</v>
      </c>
      <c r="G34" s="58">
        <v>400.0</v>
      </c>
      <c r="H34" s="60"/>
      <c r="I34" s="59"/>
    </row>
    <row r="35" ht="22.5" customHeight="1">
      <c r="A35" s="54">
        <v>46327.0</v>
      </c>
      <c r="B35" s="55" t="s">
        <v>159</v>
      </c>
      <c r="C35" s="76" t="s">
        <v>53</v>
      </c>
      <c r="D35" s="77" t="s">
        <v>54</v>
      </c>
      <c r="E35" s="64" t="s">
        <v>74</v>
      </c>
      <c r="F35" s="56" t="s">
        <v>140</v>
      </c>
      <c r="G35" s="58">
        <v>0.0</v>
      </c>
      <c r="H35" s="60"/>
      <c r="I35" s="55" t="s">
        <v>160</v>
      </c>
    </row>
    <row r="36" ht="22.5" customHeight="1">
      <c r="A36" s="54"/>
      <c r="B36" s="55"/>
      <c r="C36" s="76"/>
      <c r="D36" s="77"/>
      <c r="E36" s="57"/>
      <c r="F36" s="56"/>
      <c r="G36" s="58"/>
      <c r="H36" s="60"/>
      <c r="I36" s="55"/>
    </row>
    <row r="37" ht="22.5" customHeight="1">
      <c r="A37" s="54">
        <v>46328.0</v>
      </c>
      <c r="B37" s="55" t="s">
        <v>161</v>
      </c>
      <c r="C37" s="76" t="s">
        <v>71</v>
      </c>
      <c r="D37" s="75" t="s">
        <v>72</v>
      </c>
      <c r="E37" s="64" t="s">
        <v>74</v>
      </c>
      <c r="F37" s="56" t="s">
        <v>127</v>
      </c>
      <c r="G37" s="58">
        <v>1500.0</v>
      </c>
      <c r="H37" s="60"/>
      <c r="I37" s="59"/>
    </row>
    <row r="38" ht="22.5" customHeight="1">
      <c r="A38" s="54">
        <v>46329.0</v>
      </c>
      <c r="B38" s="55" t="s">
        <v>162</v>
      </c>
      <c r="C38" s="76" t="s">
        <v>71</v>
      </c>
      <c r="D38" s="77" t="s">
        <v>72</v>
      </c>
      <c r="E38" s="64" t="s">
        <v>95</v>
      </c>
      <c r="F38" s="56" t="s">
        <v>127</v>
      </c>
      <c r="G38" s="58">
        <v>1250.0</v>
      </c>
      <c r="H38" s="60"/>
      <c r="I38" s="55" t="s">
        <v>154</v>
      </c>
    </row>
    <row r="39" ht="22.5" customHeight="1">
      <c r="A39" s="54">
        <v>46341.0</v>
      </c>
      <c r="B39" s="55" t="s">
        <v>79</v>
      </c>
      <c r="C39" s="56" t="s">
        <v>76</v>
      </c>
      <c r="D39" s="57" t="s">
        <v>80</v>
      </c>
      <c r="E39" s="64" t="s">
        <v>74</v>
      </c>
      <c r="F39" s="56" t="s">
        <v>127</v>
      </c>
      <c r="G39" s="58">
        <v>2.99</v>
      </c>
      <c r="H39" s="60"/>
      <c r="I39" s="59"/>
    </row>
    <row r="40" ht="22.5" customHeight="1">
      <c r="A40" s="54">
        <v>46341.0</v>
      </c>
      <c r="B40" s="55" t="s">
        <v>155</v>
      </c>
      <c r="C40" s="76" t="s">
        <v>76</v>
      </c>
      <c r="D40" s="77" t="s">
        <v>136</v>
      </c>
      <c r="E40" s="64" t="s">
        <v>74</v>
      </c>
      <c r="F40" s="56" t="s">
        <v>127</v>
      </c>
      <c r="G40" s="58">
        <v>300.0</v>
      </c>
      <c r="H40" s="60"/>
      <c r="I40" s="59"/>
    </row>
    <row r="41" ht="22.5" customHeight="1">
      <c r="A41" s="54">
        <v>46342.0</v>
      </c>
      <c r="B41" s="55" t="s">
        <v>163</v>
      </c>
      <c r="C41" s="80" t="s">
        <v>71</v>
      </c>
      <c r="D41" s="75" t="s">
        <v>72</v>
      </c>
      <c r="E41" s="64" t="s">
        <v>74</v>
      </c>
      <c r="F41" s="56" t="s">
        <v>127</v>
      </c>
      <c r="G41" s="58">
        <v>800.0</v>
      </c>
      <c r="H41" s="60"/>
      <c r="I41" s="55" t="s">
        <v>164</v>
      </c>
    </row>
    <row r="42" ht="22.5" customHeight="1">
      <c r="A42" s="54">
        <v>46357.0</v>
      </c>
      <c r="B42" s="55" t="s">
        <v>165</v>
      </c>
      <c r="C42" s="76" t="s">
        <v>71</v>
      </c>
      <c r="D42" s="77" t="s">
        <v>72</v>
      </c>
      <c r="E42" s="64" t="s">
        <v>74</v>
      </c>
      <c r="F42" s="56" t="s">
        <v>127</v>
      </c>
      <c r="G42" s="58">
        <v>400.0</v>
      </c>
      <c r="H42" s="60"/>
      <c r="I42" s="55" t="s">
        <v>166</v>
      </c>
    </row>
    <row r="43" ht="22.5" customHeight="1">
      <c r="A43" s="54">
        <v>46363.0</v>
      </c>
      <c r="B43" s="55" t="s">
        <v>167</v>
      </c>
      <c r="C43" s="80" t="s">
        <v>71</v>
      </c>
      <c r="D43" s="77" t="s">
        <v>72</v>
      </c>
      <c r="E43" s="64" t="s">
        <v>74</v>
      </c>
      <c r="F43" s="56" t="s">
        <v>127</v>
      </c>
      <c r="G43" s="58">
        <v>1400.0</v>
      </c>
      <c r="H43" s="60"/>
      <c r="I43" s="55" t="s">
        <v>154</v>
      </c>
    </row>
    <row r="44" ht="22.5" customHeight="1">
      <c r="A44" s="54">
        <v>46363.0</v>
      </c>
      <c r="B44" s="55" t="s">
        <v>168</v>
      </c>
      <c r="C44" s="76" t="s">
        <v>53</v>
      </c>
      <c r="D44" s="77" t="s">
        <v>54</v>
      </c>
      <c r="E44" s="64" t="s">
        <v>74</v>
      </c>
      <c r="F44" s="56" t="s">
        <v>140</v>
      </c>
      <c r="G44" s="58">
        <v>0.0</v>
      </c>
      <c r="H44" s="60"/>
      <c r="I44" s="55" t="s">
        <v>160</v>
      </c>
    </row>
    <row r="45" ht="22.5" customHeight="1">
      <c r="A45" s="54">
        <v>46370.0</v>
      </c>
      <c r="B45" s="55" t="s">
        <v>169</v>
      </c>
      <c r="C45" s="80" t="s">
        <v>71</v>
      </c>
      <c r="D45" s="75" t="s">
        <v>72</v>
      </c>
      <c r="E45" s="64" t="s">
        <v>74</v>
      </c>
      <c r="F45" s="56" t="s">
        <v>127</v>
      </c>
      <c r="G45" s="58">
        <v>1600.0</v>
      </c>
      <c r="H45" s="60"/>
      <c r="I45" s="55" t="s">
        <v>170</v>
      </c>
    </row>
    <row r="46" ht="22.5" customHeight="1">
      <c r="A46" s="54">
        <v>46371.0</v>
      </c>
      <c r="B46" s="55" t="s">
        <v>171</v>
      </c>
      <c r="C46" s="76" t="s">
        <v>71</v>
      </c>
      <c r="D46" s="75" t="s">
        <v>72</v>
      </c>
      <c r="E46" s="64" t="s">
        <v>74</v>
      </c>
      <c r="F46" s="56" t="s">
        <v>127</v>
      </c>
      <c r="G46" s="58">
        <v>900.0</v>
      </c>
      <c r="H46" s="60"/>
      <c r="I46" s="55" t="s">
        <v>164</v>
      </c>
    </row>
    <row r="47" ht="22.5" customHeight="1">
      <c r="A47" s="54">
        <v>46371.0</v>
      </c>
      <c r="B47" s="55" t="s">
        <v>79</v>
      </c>
      <c r="C47" s="56" t="s">
        <v>76</v>
      </c>
      <c r="D47" s="57" t="s">
        <v>80</v>
      </c>
      <c r="E47" s="64" t="s">
        <v>74</v>
      </c>
      <c r="F47" s="56" t="s">
        <v>127</v>
      </c>
      <c r="G47" s="58">
        <v>2.99</v>
      </c>
      <c r="H47" s="60"/>
      <c r="I47" s="59"/>
    </row>
    <row r="48" ht="22.5" customHeight="1">
      <c r="A48" s="54">
        <v>46371.0</v>
      </c>
      <c r="B48" s="55" t="s">
        <v>155</v>
      </c>
      <c r="C48" s="76" t="s">
        <v>76</v>
      </c>
      <c r="D48" s="77" t="s">
        <v>136</v>
      </c>
      <c r="E48" s="64" t="s">
        <v>74</v>
      </c>
      <c r="F48" s="56" t="s">
        <v>127</v>
      </c>
      <c r="G48" s="58">
        <v>300.0</v>
      </c>
      <c r="H48" s="60"/>
      <c r="I48" s="59"/>
    </row>
    <row r="49" ht="22.5" customHeight="1">
      <c r="A49" s="54">
        <v>46371.0</v>
      </c>
      <c r="B49" s="55" t="s">
        <v>172</v>
      </c>
      <c r="C49" s="76" t="s">
        <v>71</v>
      </c>
      <c r="D49" s="75" t="s">
        <v>72</v>
      </c>
      <c r="E49" s="64" t="s">
        <v>74</v>
      </c>
      <c r="F49" s="56" t="s">
        <v>127</v>
      </c>
      <c r="G49" s="58">
        <v>2000.0</v>
      </c>
      <c r="H49" s="60"/>
      <c r="I49" s="55" t="s">
        <v>173</v>
      </c>
    </row>
    <row r="50" ht="22.5" customHeight="1">
      <c r="A50" s="54">
        <v>46371.0</v>
      </c>
      <c r="B50" s="55" t="s">
        <v>174</v>
      </c>
      <c r="C50" s="76" t="s">
        <v>71</v>
      </c>
      <c r="D50" s="75" t="s">
        <v>72</v>
      </c>
      <c r="E50" s="64" t="s">
        <v>74</v>
      </c>
      <c r="F50" s="56" t="s">
        <v>127</v>
      </c>
      <c r="G50" s="58">
        <v>400.0</v>
      </c>
      <c r="H50" s="60"/>
      <c r="I50" s="103" t="s">
        <v>175</v>
      </c>
    </row>
    <row r="51" ht="22.5" customHeight="1">
      <c r="A51" s="54"/>
      <c r="B51" s="55"/>
      <c r="C51" s="80"/>
      <c r="D51" s="75"/>
      <c r="E51" s="57"/>
      <c r="F51" s="56"/>
      <c r="G51" s="58"/>
      <c r="H51" s="60"/>
      <c r="I51" s="59"/>
    </row>
    <row r="52" ht="22.5" customHeight="1">
      <c r="A52" s="54"/>
      <c r="B52" s="55"/>
      <c r="C52" s="76"/>
      <c r="D52" s="77"/>
      <c r="E52" s="57"/>
      <c r="F52" s="56"/>
      <c r="G52" s="58"/>
      <c r="H52" s="60"/>
      <c r="I52" s="59"/>
    </row>
    <row r="53" ht="22.5" customHeight="1">
      <c r="A53" s="54"/>
      <c r="B53" s="55"/>
      <c r="C53" s="78"/>
      <c r="D53" s="104"/>
      <c r="E53" s="57"/>
      <c r="F53" s="56"/>
      <c r="G53" s="58"/>
      <c r="H53" s="60"/>
      <c r="I53" s="59"/>
    </row>
    <row r="54" ht="22.5" customHeight="1">
      <c r="A54" s="54"/>
      <c r="B54" s="55"/>
      <c r="C54" s="76"/>
      <c r="D54" s="77"/>
      <c r="E54" s="57"/>
      <c r="F54" s="56"/>
      <c r="G54" s="58"/>
      <c r="H54" s="60"/>
      <c r="I54" s="59"/>
    </row>
    <row r="55" ht="22.5" customHeight="1">
      <c r="A55" s="61"/>
      <c r="B55" s="59"/>
      <c r="C55" s="82"/>
      <c r="D55" s="83"/>
      <c r="E55" s="59"/>
      <c r="F55" s="62"/>
      <c r="G55" s="63"/>
      <c r="H55" s="60"/>
      <c r="I55" s="59"/>
    </row>
    <row r="56" ht="22.5" customHeight="1">
      <c r="A56" s="61"/>
      <c r="B56" s="59"/>
      <c r="C56" s="82"/>
      <c r="D56" s="83"/>
      <c r="E56" s="59"/>
      <c r="F56" s="62"/>
      <c r="G56" s="63"/>
      <c r="H56" s="60"/>
      <c r="I56" s="59"/>
    </row>
    <row r="57" ht="22.5" customHeight="1">
      <c r="A57" s="61"/>
      <c r="B57" s="59"/>
      <c r="C57" s="82"/>
      <c r="D57" s="83"/>
      <c r="E57" s="59"/>
      <c r="F57" s="62"/>
      <c r="G57" s="63"/>
      <c r="H57" s="60"/>
      <c r="I57" s="59"/>
    </row>
    <row r="58" ht="22.5" customHeight="1">
      <c r="A58" s="61"/>
      <c r="B58" s="59"/>
      <c r="C58" s="82"/>
      <c r="D58" s="83"/>
      <c r="E58" s="59"/>
      <c r="F58" s="62"/>
      <c r="G58" s="63"/>
      <c r="H58" s="60"/>
      <c r="I58" s="59"/>
    </row>
    <row r="59" ht="22.5" customHeight="1">
      <c r="A59" s="61"/>
      <c r="B59" s="59"/>
      <c r="C59" s="82"/>
      <c r="D59" s="83"/>
      <c r="E59" s="59"/>
      <c r="F59" s="62"/>
      <c r="G59" s="63"/>
      <c r="H59" s="60"/>
      <c r="I59" s="59"/>
    </row>
    <row r="60" ht="22.5" customHeight="1">
      <c r="A60" s="61"/>
      <c r="B60" s="59"/>
      <c r="C60" s="82"/>
      <c r="D60" s="83"/>
      <c r="E60" s="59"/>
      <c r="F60" s="62"/>
      <c r="G60" s="63"/>
      <c r="H60" s="60"/>
      <c r="I60" s="59"/>
    </row>
    <row r="61" ht="22.5" customHeight="1">
      <c r="A61" s="61"/>
      <c r="B61" s="59"/>
      <c r="C61" s="82"/>
      <c r="D61" s="83"/>
      <c r="E61" s="59"/>
      <c r="F61" s="62"/>
      <c r="G61" s="63"/>
      <c r="H61" s="60"/>
      <c r="I61" s="59"/>
    </row>
    <row r="62" ht="22.5" customHeight="1">
      <c r="A62" s="61"/>
      <c r="B62" s="59"/>
      <c r="C62" s="82"/>
      <c r="D62" s="83"/>
      <c r="E62" s="59"/>
      <c r="F62" s="62"/>
      <c r="G62" s="63"/>
      <c r="H62" s="60"/>
      <c r="I62" s="59"/>
    </row>
    <row r="63" ht="22.5" customHeight="1">
      <c r="A63" s="61"/>
      <c r="B63" s="59"/>
      <c r="C63" s="82"/>
      <c r="D63" s="83"/>
      <c r="E63" s="59"/>
      <c r="F63" s="62"/>
      <c r="G63" s="63"/>
      <c r="H63" s="60"/>
      <c r="I63" s="59"/>
    </row>
    <row r="64" ht="22.5" customHeight="1">
      <c r="A64" s="61"/>
      <c r="B64" s="59"/>
      <c r="C64" s="82"/>
      <c r="D64" s="83"/>
      <c r="E64" s="59"/>
      <c r="F64" s="62"/>
      <c r="G64" s="63"/>
      <c r="H64" s="60"/>
      <c r="I64" s="59"/>
    </row>
    <row r="65" ht="22.5" customHeight="1">
      <c r="A65" s="61"/>
      <c r="B65" s="59"/>
      <c r="C65" s="82"/>
      <c r="D65" s="83"/>
      <c r="E65" s="59"/>
      <c r="F65" s="62"/>
      <c r="G65" s="63"/>
      <c r="H65" s="60"/>
      <c r="I65" s="59"/>
    </row>
    <row r="66" ht="22.5" customHeight="1">
      <c r="A66" s="61"/>
      <c r="B66" s="59"/>
      <c r="C66" s="82"/>
      <c r="D66" s="83"/>
      <c r="E66" s="59"/>
      <c r="F66" s="62"/>
      <c r="G66" s="63"/>
      <c r="H66" s="60"/>
      <c r="I66" s="59"/>
    </row>
    <row r="67" ht="22.5" customHeight="1">
      <c r="A67" s="61"/>
      <c r="B67" s="59"/>
      <c r="C67" s="82"/>
      <c r="D67" s="83"/>
      <c r="E67" s="59"/>
      <c r="F67" s="62"/>
      <c r="G67" s="63"/>
      <c r="H67" s="60"/>
      <c r="I67" s="59"/>
    </row>
    <row r="68" ht="22.5" customHeight="1">
      <c r="A68" s="61"/>
      <c r="B68" s="59"/>
      <c r="C68" s="82"/>
      <c r="D68" s="83"/>
      <c r="E68" s="59"/>
      <c r="F68" s="62"/>
      <c r="G68" s="63"/>
      <c r="H68" s="60"/>
      <c r="I68" s="59"/>
    </row>
    <row r="69" ht="22.5" customHeight="1">
      <c r="A69" s="61"/>
      <c r="B69" s="59"/>
      <c r="C69" s="82"/>
      <c r="D69" s="83"/>
      <c r="E69" s="59"/>
      <c r="F69" s="62"/>
      <c r="G69" s="63"/>
      <c r="H69" s="60"/>
      <c r="I69" s="59"/>
    </row>
    <row r="70" ht="22.5" customHeight="1">
      <c r="A70" s="61"/>
      <c r="B70" s="59"/>
      <c r="C70" s="82"/>
      <c r="D70" s="83"/>
      <c r="E70" s="59"/>
      <c r="F70" s="62"/>
      <c r="G70" s="63"/>
      <c r="H70" s="60"/>
      <c r="I70" s="59"/>
    </row>
    <row r="71" ht="22.5" customHeight="1">
      <c r="A71" s="61"/>
      <c r="B71" s="59"/>
      <c r="C71" s="82"/>
      <c r="D71" s="83"/>
      <c r="E71" s="59"/>
      <c r="F71" s="62"/>
      <c r="G71" s="63"/>
      <c r="H71" s="60"/>
      <c r="I71" s="59"/>
    </row>
    <row r="72" ht="22.5" customHeight="1">
      <c r="A72" s="61"/>
      <c r="B72" s="59"/>
      <c r="C72" s="82"/>
      <c r="D72" s="83"/>
      <c r="E72" s="59"/>
      <c r="F72" s="62"/>
      <c r="G72" s="63"/>
      <c r="H72" s="60"/>
      <c r="I72" s="59"/>
    </row>
    <row r="73" ht="22.5" customHeight="1">
      <c r="A73" s="61"/>
      <c r="B73" s="59"/>
      <c r="C73" s="82"/>
      <c r="D73" s="83"/>
      <c r="E73" s="59"/>
      <c r="F73" s="62"/>
      <c r="G73" s="63"/>
      <c r="H73" s="60"/>
      <c r="I73" s="59"/>
    </row>
    <row r="74" ht="22.5" customHeight="1">
      <c r="A74" s="61"/>
      <c r="B74" s="59"/>
      <c r="C74" s="82"/>
      <c r="D74" s="83"/>
      <c r="E74" s="59"/>
      <c r="F74" s="62"/>
      <c r="G74" s="63"/>
      <c r="H74" s="60"/>
      <c r="I74" s="59"/>
    </row>
    <row r="75" ht="22.5" customHeight="1">
      <c r="A75" s="61"/>
      <c r="B75" s="59"/>
      <c r="C75" s="82"/>
      <c r="D75" s="83"/>
      <c r="E75" s="59"/>
      <c r="F75" s="62"/>
      <c r="G75" s="63"/>
      <c r="H75" s="60"/>
      <c r="I75" s="59"/>
    </row>
    <row r="76" ht="22.5" customHeight="1">
      <c r="A76" s="61"/>
      <c r="B76" s="59"/>
      <c r="C76" s="82"/>
      <c r="D76" s="83"/>
      <c r="E76" s="59"/>
      <c r="F76" s="62"/>
      <c r="G76" s="63"/>
      <c r="H76" s="60"/>
      <c r="I76" s="59"/>
    </row>
    <row r="77" ht="22.5" customHeight="1">
      <c r="A77" s="61"/>
      <c r="B77" s="59"/>
      <c r="C77" s="82"/>
      <c r="D77" s="83"/>
      <c r="E77" s="59"/>
      <c r="F77" s="62"/>
      <c r="G77" s="63"/>
      <c r="H77" s="60"/>
      <c r="I77" s="59"/>
    </row>
    <row r="78" ht="22.5" customHeight="1">
      <c r="A78" s="61"/>
      <c r="B78" s="59"/>
      <c r="C78" s="82"/>
      <c r="D78" s="83"/>
      <c r="E78" s="59"/>
      <c r="F78" s="62"/>
      <c r="G78" s="63"/>
      <c r="H78" s="60"/>
      <c r="I78" s="59"/>
    </row>
    <row r="79" ht="22.5" customHeight="1">
      <c r="A79" s="61"/>
      <c r="B79" s="59"/>
      <c r="C79" s="82"/>
      <c r="D79" s="83"/>
      <c r="E79" s="59"/>
      <c r="F79" s="62"/>
      <c r="G79" s="63"/>
      <c r="H79" s="60"/>
      <c r="I79" s="59"/>
    </row>
    <row r="80" ht="22.5" customHeight="1">
      <c r="A80" s="61"/>
      <c r="B80" s="59"/>
      <c r="C80" s="82"/>
      <c r="D80" s="83"/>
      <c r="E80" s="59"/>
      <c r="F80" s="62"/>
      <c r="G80" s="63"/>
      <c r="H80" s="60"/>
      <c r="I80" s="59"/>
    </row>
    <row r="81" ht="22.5" customHeight="1">
      <c r="A81" s="61"/>
      <c r="B81" s="59"/>
      <c r="C81" s="82"/>
      <c r="D81" s="83"/>
      <c r="E81" s="59"/>
      <c r="F81" s="62"/>
      <c r="G81" s="63"/>
      <c r="H81" s="60"/>
      <c r="I81" s="59"/>
    </row>
    <row r="82" ht="22.5" customHeight="1">
      <c r="A82" s="61"/>
      <c r="B82" s="59"/>
      <c r="C82" s="82"/>
      <c r="D82" s="83"/>
      <c r="E82" s="59"/>
      <c r="F82" s="62"/>
      <c r="G82" s="63"/>
      <c r="H82" s="60"/>
      <c r="I82" s="59"/>
    </row>
    <row r="83" ht="22.5" customHeight="1">
      <c r="A83" s="61"/>
      <c r="B83" s="59"/>
      <c r="C83" s="82"/>
      <c r="D83" s="83"/>
      <c r="E83" s="59"/>
      <c r="F83" s="62"/>
      <c r="G83" s="63"/>
      <c r="H83" s="60"/>
      <c r="I83" s="59"/>
    </row>
    <row r="84" ht="22.5" customHeight="1">
      <c r="A84" s="61"/>
      <c r="B84" s="59"/>
      <c r="C84" s="82"/>
      <c r="D84" s="83"/>
      <c r="E84" s="59"/>
      <c r="F84" s="62"/>
      <c r="G84" s="63"/>
      <c r="H84" s="60"/>
      <c r="I84" s="59"/>
    </row>
    <row r="85" ht="22.5" customHeight="1">
      <c r="A85" s="61"/>
      <c r="B85" s="59"/>
      <c r="C85" s="82"/>
      <c r="D85" s="83"/>
      <c r="E85" s="59"/>
      <c r="F85" s="62"/>
      <c r="G85" s="63"/>
      <c r="H85" s="60"/>
      <c r="I85" s="59"/>
    </row>
    <row r="86" ht="22.5" customHeight="1">
      <c r="A86" s="61"/>
      <c r="B86" s="59"/>
      <c r="C86" s="82"/>
      <c r="D86" s="83"/>
      <c r="E86" s="59"/>
      <c r="F86" s="62"/>
      <c r="G86" s="63"/>
      <c r="H86" s="60"/>
      <c r="I86" s="59"/>
    </row>
    <row r="87" ht="22.5" customHeight="1">
      <c r="A87" s="61"/>
      <c r="B87" s="59"/>
      <c r="C87" s="82"/>
      <c r="D87" s="83"/>
      <c r="E87" s="59"/>
      <c r="F87" s="62"/>
      <c r="G87" s="63"/>
      <c r="H87" s="60"/>
      <c r="I87" s="59"/>
    </row>
    <row r="88" ht="22.5" customHeight="1">
      <c r="A88" s="61"/>
      <c r="B88" s="59"/>
      <c r="C88" s="82"/>
      <c r="D88" s="83"/>
      <c r="E88" s="59"/>
      <c r="F88" s="62"/>
      <c r="G88" s="63"/>
      <c r="H88" s="60"/>
      <c r="I88" s="59"/>
    </row>
    <row r="89" ht="22.5" customHeight="1">
      <c r="A89" s="61"/>
      <c r="B89" s="59"/>
      <c r="C89" s="82"/>
      <c r="D89" s="83"/>
      <c r="E89" s="59"/>
      <c r="F89" s="62"/>
      <c r="G89" s="63"/>
      <c r="H89" s="60"/>
      <c r="I89" s="59"/>
    </row>
    <row r="90" ht="22.5" customHeight="1">
      <c r="A90" s="61"/>
      <c r="B90" s="59"/>
      <c r="C90" s="82"/>
      <c r="D90" s="83"/>
      <c r="E90" s="59"/>
      <c r="F90" s="62"/>
      <c r="G90" s="63"/>
      <c r="H90" s="60"/>
      <c r="I90" s="59"/>
    </row>
    <row r="91" ht="22.5" customHeight="1">
      <c r="A91" s="61"/>
      <c r="B91" s="59"/>
      <c r="C91" s="82"/>
      <c r="D91" s="83"/>
      <c r="E91" s="59"/>
      <c r="F91" s="62"/>
      <c r="G91" s="63"/>
      <c r="H91" s="60"/>
      <c r="I91" s="59"/>
    </row>
    <row r="92" ht="22.5" customHeight="1">
      <c r="A92" s="61"/>
      <c r="B92" s="59"/>
      <c r="C92" s="82"/>
      <c r="D92" s="83"/>
      <c r="E92" s="59"/>
      <c r="F92" s="62"/>
      <c r="G92" s="63"/>
      <c r="H92" s="60"/>
      <c r="I92" s="59"/>
    </row>
    <row r="93" ht="22.5" customHeight="1">
      <c r="A93" s="61"/>
      <c r="B93" s="59"/>
      <c r="C93" s="82"/>
      <c r="D93" s="83"/>
      <c r="E93" s="59"/>
      <c r="F93" s="62"/>
      <c r="G93" s="63"/>
      <c r="H93" s="60"/>
      <c r="I93" s="59"/>
    </row>
    <row r="94" ht="22.5" customHeight="1">
      <c r="A94" s="61"/>
      <c r="B94" s="59"/>
      <c r="C94" s="82"/>
      <c r="D94" s="83"/>
      <c r="E94" s="59"/>
      <c r="F94" s="62"/>
      <c r="G94" s="63"/>
      <c r="H94" s="60"/>
      <c r="I94" s="59"/>
    </row>
    <row r="95" ht="22.5" customHeight="1">
      <c r="A95" s="61"/>
      <c r="B95" s="59"/>
      <c r="C95" s="82"/>
      <c r="D95" s="83"/>
      <c r="E95" s="59"/>
      <c r="F95" s="62"/>
      <c r="G95" s="63"/>
      <c r="H95" s="60"/>
      <c r="I95" s="59"/>
    </row>
    <row r="96" ht="22.5" customHeight="1">
      <c r="A96" s="61"/>
      <c r="B96" s="59"/>
      <c r="C96" s="82"/>
      <c r="D96" s="83"/>
      <c r="E96" s="59"/>
      <c r="F96" s="62"/>
      <c r="G96" s="63"/>
      <c r="H96" s="60"/>
      <c r="I96" s="59"/>
    </row>
    <row r="97" ht="22.5" customHeight="1">
      <c r="A97" s="61"/>
      <c r="B97" s="59"/>
      <c r="C97" s="82"/>
      <c r="D97" s="83"/>
      <c r="E97" s="59"/>
      <c r="F97" s="62"/>
      <c r="G97" s="63"/>
      <c r="H97" s="60"/>
      <c r="I97" s="59"/>
    </row>
    <row r="98" ht="22.5" customHeight="1">
      <c r="A98" s="61"/>
      <c r="B98" s="59"/>
      <c r="C98" s="82"/>
      <c r="D98" s="83"/>
      <c r="E98" s="59"/>
      <c r="F98" s="62"/>
      <c r="G98" s="63"/>
      <c r="H98" s="60"/>
      <c r="I98" s="59"/>
    </row>
    <row r="99" ht="22.5" customHeight="1">
      <c r="A99" s="61"/>
      <c r="B99" s="59"/>
      <c r="C99" s="82"/>
      <c r="D99" s="83"/>
      <c r="E99" s="59"/>
      <c r="F99" s="62"/>
      <c r="G99" s="63"/>
      <c r="H99" s="60"/>
      <c r="I99" s="59"/>
    </row>
    <row r="100" ht="22.5" customHeight="1">
      <c r="A100" s="61"/>
      <c r="B100" s="59"/>
      <c r="C100" s="82"/>
      <c r="D100" s="83"/>
      <c r="E100" s="59"/>
      <c r="F100" s="62"/>
      <c r="G100" s="63"/>
      <c r="H100" s="60"/>
      <c r="I100" s="59"/>
    </row>
    <row r="101" ht="22.5" customHeight="1">
      <c r="A101" s="61"/>
      <c r="B101" s="59"/>
      <c r="C101" s="82"/>
      <c r="D101" s="83"/>
      <c r="E101" s="59"/>
      <c r="F101" s="62"/>
      <c r="G101" s="63"/>
      <c r="H101" s="60"/>
      <c r="I101" s="59"/>
    </row>
    <row r="102" ht="22.5" customHeight="1">
      <c r="A102" s="61"/>
      <c r="B102" s="59"/>
      <c r="C102" s="82"/>
      <c r="D102" s="83"/>
      <c r="E102" s="59"/>
      <c r="F102" s="62"/>
      <c r="G102" s="63"/>
      <c r="H102" s="60"/>
      <c r="I102" s="59"/>
    </row>
    <row r="103" ht="22.5" customHeight="1">
      <c r="A103" s="61"/>
      <c r="B103" s="59"/>
      <c r="C103" s="82"/>
      <c r="D103" s="83"/>
      <c r="E103" s="59"/>
      <c r="F103" s="62"/>
      <c r="G103" s="63"/>
      <c r="H103" s="60"/>
      <c r="I103" s="59"/>
    </row>
    <row r="104" ht="22.5" customHeight="1">
      <c r="A104" s="61"/>
      <c r="B104" s="59"/>
      <c r="C104" s="82"/>
      <c r="D104" s="83"/>
      <c r="E104" s="59"/>
      <c r="F104" s="62"/>
      <c r="G104" s="63"/>
      <c r="H104" s="60"/>
      <c r="I104" s="59"/>
    </row>
    <row r="105" ht="22.5" customHeight="1">
      <c r="A105" s="61"/>
      <c r="B105" s="59"/>
      <c r="C105" s="82"/>
      <c r="D105" s="83"/>
      <c r="E105" s="59"/>
      <c r="F105" s="62"/>
      <c r="G105" s="63"/>
      <c r="H105" s="60"/>
      <c r="I105" s="59"/>
    </row>
    <row r="106" ht="22.5" customHeight="1">
      <c r="A106" s="61"/>
      <c r="B106" s="59"/>
      <c r="C106" s="82"/>
      <c r="D106" s="83"/>
      <c r="E106" s="59"/>
      <c r="F106" s="62"/>
      <c r="G106" s="63"/>
      <c r="H106" s="60"/>
      <c r="I106" s="59"/>
    </row>
    <row r="107" ht="22.5" customHeight="1">
      <c r="A107" s="61"/>
      <c r="B107" s="59"/>
      <c r="C107" s="82"/>
      <c r="D107" s="83"/>
      <c r="E107" s="59"/>
      <c r="F107" s="62"/>
      <c r="G107" s="63"/>
      <c r="H107" s="60"/>
      <c r="I107" s="59"/>
    </row>
    <row r="108" ht="22.5" customHeight="1">
      <c r="A108" s="61"/>
      <c r="B108" s="59"/>
      <c r="C108" s="82"/>
      <c r="D108" s="83"/>
      <c r="E108" s="59"/>
      <c r="F108" s="62"/>
      <c r="G108" s="63"/>
      <c r="H108" s="60"/>
      <c r="I108" s="59"/>
    </row>
    <row r="109" ht="22.5" customHeight="1">
      <c r="A109" s="61"/>
      <c r="B109" s="59"/>
      <c r="C109" s="82"/>
      <c r="D109" s="83"/>
      <c r="E109" s="59"/>
      <c r="F109" s="62"/>
      <c r="G109" s="63"/>
      <c r="H109" s="60"/>
      <c r="I109" s="59"/>
    </row>
    <row r="110" ht="22.5" customHeight="1">
      <c r="A110" s="61"/>
      <c r="B110" s="59"/>
      <c r="C110" s="82"/>
      <c r="D110" s="83"/>
      <c r="E110" s="59"/>
      <c r="F110" s="62"/>
      <c r="G110" s="63"/>
      <c r="H110" s="60"/>
      <c r="I110" s="59"/>
    </row>
    <row r="111" ht="22.5" customHeight="1">
      <c r="A111" s="61"/>
      <c r="B111" s="59"/>
      <c r="C111" s="82"/>
      <c r="D111" s="83"/>
      <c r="E111" s="59"/>
      <c r="F111" s="62"/>
      <c r="G111" s="63"/>
      <c r="H111" s="60"/>
      <c r="I111" s="59"/>
    </row>
    <row r="112" ht="22.5" customHeight="1">
      <c r="A112" s="61"/>
      <c r="B112" s="59"/>
      <c r="C112" s="82"/>
      <c r="D112" s="83"/>
      <c r="E112" s="59"/>
      <c r="F112" s="62"/>
      <c r="G112" s="63"/>
      <c r="H112" s="60"/>
      <c r="I112" s="59"/>
    </row>
    <row r="113" ht="22.5" customHeight="1">
      <c r="A113" s="61"/>
      <c r="B113" s="59"/>
      <c r="C113" s="82"/>
      <c r="D113" s="83"/>
      <c r="E113" s="59"/>
      <c r="F113" s="62"/>
      <c r="G113" s="63"/>
      <c r="H113" s="60"/>
      <c r="I113" s="59"/>
    </row>
    <row r="114" ht="22.5" customHeight="1">
      <c r="A114" s="61"/>
      <c r="B114" s="59"/>
      <c r="C114" s="82"/>
      <c r="D114" s="83"/>
      <c r="E114" s="59"/>
      <c r="F114" s="62"/>
      <c r="G114" s="63"/>
      <c r="H114" s="60"/>
      <c r="I114" s="59"/>
    </row>
    <row r="115" ht="22.5" customHeight="1">
      <c r="A115" s="61"/>
      <c r="B115" s="59"/>
      <c r="C115" s="82"/>
      <c r="D115" s="83"/>
      <c r="E115" s="59"/>
      <c r="F115" s="62"/>
      <c r="G115" s="63"/>
      <c r="H115" s="60"/>
      <c r="I115" s="59"/>
    </row>
    <row r="116" ht="22.5" customHeight="1">
      <c r="A116" s="61"/>
      <c r="B116" s="59"/>
      <c r="C116" s="82"/>
      <c r="D116" s="83"/>
      <c r="E116" s="59"/>
      <c r="F116" s="62"/>
      <c r="G116" s="63"/>
      <c r="H116" s="60"/>
      <c r="I116" s="59"/>
    </row>
    <row r="117" ht="22.5" customHeight="1">
      <c r="A117" s="61"/>
      <c r="B117" s="59"/>
      <c r="C117" s="82"/>
      <c r="D117" s="83"/>
      <c r="E117" s="59"/>
      <c r="F117" s="62"/>
      <c r="G117" s="63"/>
      <c r="H117" s="60"/>
      <c r="I117" s="59"/>
    </row>
    <row r="118" ht="22.5" customHeight="1">
      <c r="A118" s="61"/>
      <c r="B118" s="59"/>
      <c r="C118" s="82"/>
      <c r="D118" s="83"/>
      <c r="E118" s="59"/>
      <c r="F118" s="62"/>
      <c r="G118" s="63"/>
      <c r="H118" s="60"/>
      <c r="I118" s="59"/>
    </row>
    <row r="119" ht="22.5" customHeight="1">
      <c r="A119" s="61"/>
      <c r="B119" s="59"/>
      <c r="C119" s="82"/>
      <c r="D119" s="83"/>
      <c r="E119" s="59"/>
      <c r="F119" s="62"/>
      <c r="G119" s="63"/>
      <c r="H119" s="60"/>
      <c r="I119" s="59"/>
    </row>
  </sheetData>
  <dataValidations>
    <dataValidation type="list" allowBlank="1" showErrorMessage="1" sqref="D4 D9:D10 D16:D17 D23:D24 D28:D29 D32:D33 D39:D40 D47:D48">
      <formula1>"Frais IT,Google Drive,Site Internet,Local,Assurance,Frais Bancaires"</formula1>
    </dataValidation>
    <dataValidation type="list" allowBlank="1" showErrorMessage="1" sqref="D8 D12 D14 D19 D26 D30 D35 D44">
      <formula1>"Location de matériel,Techniciens"</formula1>
    </dataValidation>
    <dataValidation type="list" allowBlank="1" sqref="F2:F119">
      <formula1>"Entrée,Sortie"</formula1>
    </dataValidation>
    <dataValidation type="list" allowBlank="1" showErrorMessage="1" sqref="D51">
      <formula1>"Booking DJ,Photographe/
Vidéaste,DA/Graphiste"</formula1>
    </dataValidation>
    <dataValidation type="custom" allowBlank="1" showDropDown="1" sqref="A2:A119">
      <formula1>OR(NOT(ISERROR(DATEVALUE(A2))), AND(ISNUMBER(A2), LEFT(CELL("format", A2))="D"))</formula1>
    </dataValidation>
    <dataValidation allowBlank="1" showDropDown="1" sqref="B2:B119 I2:I119"/>
    <dataValidation type="list" allowBlank="1" showErrorMessage="1" sqref="D54">
      <formula1>"Recettes Evenement"</formula1>
    </dataValidation>
    <dataValidation type="custom" allowBlank="1" showDropDown="1" sqref="G2:G119">
      <formula1>AND(ISNUMBER(G2),(NOT(OR(NOT(ISERROR(DATEVALUE(G2))), AND(ISNUMBER(G2), LEFT(CELL("format", G2))="D")))))</formula1>
    </dataValidation>
    <dataValidation type="list" allowBlank="1" showErrorMessage="1" sqref="D2">
      <formula1>"Booking DJ,Photographe/Vidéaste,DA/Graphiste,Communication"</formula1>
    </dataValidation>
    <dataValidation type="list" allowBlank="1" showErrorMessage="1" sqref="D3 D5:D7 D11 D13 D15 D20:D22 D27 D31 D34 D36:D38 D41 D43 D45:D46 D49:D50 D53">
      <formula1>"Achat de matériel,Frais Entretien,Location de matériel"</formula1>
    </dataValidation>
    <dataValidation type="list" allowBlank="1" sqref="C2:C119">
      <formula1>#REF!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I50"/>
  </hyperlinks>
  <drawing r:id="rId50"/>
  <tableParts count="1">
    <tablePart r:id="rId5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 outlineLevelCol="1" outlineLevelRow="2"/>
  <cols>
    <col customWidth="1" min="1" max="1" width="11.63"/>
    <col customWidth="1" min="4" max="5" width="11.38" outlineLevel="1"/>
    <col customWidth="1" min="6" max="6" width="12.0" outlineLevel="1"/>
    <col customWidth="1" min="7" max="16" width="11.38" outlineLevel="1"/>
  </cols>
  <sheetData>
    <row r="1" ht="31.5" customHeight="1">
      <c r="A1" s="105"/>
      <c r="B1" s="106"/>
      <c r="C1" s="106"/>
      <c r="D1" s="107" t="s">
        <v>176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8"/>
      <c r="Q1" s="109"/>
      <c r="R1" s="110"/>
      <c r="S1" s="110"/>
      <c r="T1" s="110"/>
      <c r="U1" s="111"/>
    </row>
    <row r="2" ht="18.75" customHeight="1">
      <c r="A2" s="112"/>
      <c r="D2" s="113" t="s">
        <v>177</v>
      </c>
      <c r="E2" s="114">
        <v>2026.0</v>
      </c>
      <c r="F2" s="113" t="s">
        <v>178</v>
      </c>
      <c r="G2" s="115">
        <v>1673.84</v>
      </c>
      <c r="H2" s="116"/>
      <c r="I2" s="117"/>
      <c r="J2" s="117"/>
      <c r="K2" s="117"/>
      <c r="L2" s="117"/>
      <c r="M2" s="117"/>
      <c r="N2" s="117"/>
      <c r="O2" s="117"/>
      <c r="P2" s="118"/>
      <c r="Q2" s="119"/>
      <c r="R2" s="120"/>
      <c r="S2" s="120"/>
      <c r="T2" s="120"/>
      <c r="U2" s="121"/>
    </row>
    <row r="3" ht="35.25" customHeight="1">
      <c r="A3" s="122" t="s">
        <v>179</v>
      </c>
      <c r="B3" s="123"/>
      <c r="C3" s="123"/>
      <c r="D3" s="124">
        <v>46023.0</v>
      </c>
      <c r="E3" s="125">
        <v>46054.0</v>
      </c>
      <c r="F3" s="125">
        <v>46082.0</v>
      </c>
      <c r="G3" s="125">
        <v>46113.0</v>
      </c>
      <c r="H3" s="125">
        <v>46143.0</v>
      </c>
      <c r="I3" s="125">
        <v>46174.0</v>
      </c>
      <c r="J3" s="125">
        <v>46204.0</v>
      </c>
      <c r="K3" s="125">
        <v>46235.0</v>
      </c>
      <c r="L3" s="125">
        <v>46266.0</v>
      </c>
      <c r="M3" s="125">
        <v>46296.0</v>
      </c>
      <c r="N3" s="125">
        <v>46327.0</v>
      </c>
      <c r="O3" s="126">
        <v>46357.0</v>
      </c>
      <c r="P3" s="127" t="s">
        <v>180</v>
      </c>
      <c r="Q3" s="119"/>
      <c r="R3" s="120"/>
      <c r="S3" s="120"/>
      <c r="T3" s="120"/>
      <c r="U3" s="121"/>
    </row>
    <row r="4" ht="19.5" customHeight="1">
      <c r="A4" s="128" t="s">
        <v>181</v>
      </c>
      <c r="D4" s="129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1"/>
      <c r="R4" s="132"/>
      <c r="S4" s="132"/>
      <c r="T4" s="132"/>
      <c r="U4" s="133"/>
    </row>
    <row r="5" ht="19.5" customHeight="1" outlineLevel="1">
      <c r="A5" s="134" t="s">
        <v>182</v>
      </c>
      <c r="D5" s="135"/>
      <c r="Q5" s="131"/>
      <c r="R5" s="132"/>
      <c r="S5" s="132"/>
      <c r="T5" s="132"/>
      <c r="U5" s="133"/>
    </row>
    <row r="6" ht="19.5" customHeight="1" outlineLevel="2">
      <c r="A6" s="136" t="s">
        <v>72</v>
      </c>
      <c r="D6" s="137">
        <f>SUMIFS(Sorties[Coût TTC],Sorties[Spécification], $A6,Sorties[Date], "&gt;="&amp;D$3,Sorties[Date], "&lt;="&amp;EOMONTH(D$3,0))</f>
        <v>1848.65</v>
      </c>
      <c r="E6" s="137">
        <f>SUMIFS(Sorties[Coût TTC],Sorties[Spécification], $A6,Sorties[Date], "&gt;="&amp;E$3,Sorties[Date], "&lt;="&amp;EOMONTH(E$3,0))</f>
        <v>1220.47</v>
      </c>
      <c r="F6" s="137">
        <f>SUMIFS(Sorties[Coût TTC],Sorties[Spécification], $A6,Sorties[Date], "&gt;="&amp;F$3,Sorties[Date], "&lt;="&amp;EOMONTH(F$3,0))</f>
        <v>85.9</v>
      </c>
      <c r="G6" s="137">
        <f>SUMIFS(Sorties[Coût TTC],Sorties[Spécification], $A6,Sorties[Date], "&gt;="&amp;G$3,Sorties[Date], "&lt;="&amp;EOMONTH(G$3,0))</f>
        <v>748</v>
      </c>
      <c r="H6" s="137">
        <f>SUMIFS(Sorties[Coût TTC],Sorties[Spécification], $A6,Sorties[Date], "&gt;="&amp;H$3,Sorties[Date], "&lt;="&amp;EOMONTH(H$3,0))</f>
        <v>0</v>
      </c>
      <c r="I6" s="137">
        <f>SUMIFS(Sorties[Coût TTC],Sorties[Spécification], $A6,Sorties[Date], "&gt;="&amp;I$3,Sorties[Date], "&lt;="&amp;EOMONTH(I$3,0))</f>
        <v>0</v>
      </c>
      <c r="J6" s="137">
        <f>SUMIFS(Sorties[Coût TTC],Sorties[Spécification], $A6,Sorties[Date], "&gt;="&amp;J$3,Sorties[Date], "&lt;="&amp;EOMONTH(J$3,0))</f>
        <v>0</v>
      </c>
      <c r="K6" s="137">
        <f>SUMIFS(Sorties[Coût TTC],Sorties[Spécification], $A6,Sorties[Date], "&gt;="&amp;K$3,Sorties[Date], "&lt;="&amp;EOMONTH(K$3,0))</f>
        <v>0</v>
      </c>
      <c r="L6" s="137">
        <f>SUMIFS(Sorties[Coût TTC],Sorties[Spécification], $A6,Sorties[Date], "&gt;="&amp;L$3,Sorties[Date], "&lt;="&amp;EOMONTH(L$3,0))</f>
        <v>0</v>
      </c>
      <c r="M6" s="137">
        <f>SUMIFS(Sorties[Coût TTC],Sorties[Spécification], $A6,Sorties[Date], "&gt;="&amp;M$3,Sorties[Date], "&lt;="&amp;EOMONTH(M$3,0))</f>
        <v>0</v>
      </c>
      <c r="N6" s="137">
        <f>SUMIFS(Sorties[Coût TTC],Sorties[Spécification], $A6,Sorties[Date], "&gt;="&amp;N$3,Sorties[Date], "&lt;="&amp;EOMONTH(N$3,0))</f>
        <v>0</v>
      </c>
      <c r="O6" s="137">
        <f>SUMIFS(Sorties[Coût TTC],Sorties[Spécification], $A6,Sorties[Date], "&gt;="&amp;O$3,Sorties[Date], "&lt;="&amp;EOMONTH(O$3,0))</f>
        <v>0</v>
      </c>
      <c r="P6" s="138">
        <f t="shared" ref="P6:P8" si="1">SUM(D6:O6)</f>
        <v>3903.02</v>
      </c>
      <c r="Q6" s="131"/>
      <c r="R6" s="132"/>
      <c r="S6" s="132"/>
      <c r="T6" s="132"/>
      <c r="U6" s="133"/>
    </row>
    <row r="7" ht="19.5" customHeight="1" outlineLevel="2">
      <c r="A7" s="139" t="s">
        <v>183</v>
      </c>
      <c r="D7" s="140">
        <f>SUMIFS(Sorties[Coût TTC],Sorties[Spécification], $A7,Sorties[Date], "&gt;="&amp;D$3,Sorties[Date], "&lt;="&amp;EOMONTH(D$3,0))</f>
        <v>0</v>
      </c>
      <c r="E7" s="140">
        <f>SUMIFS(Sorties[Coût TTC],Sorties[Spécification], $A7,Sorties[Date], "&gt;="&amp;E$3,Sorties[Date], "&lt;="&amp;EOMONTH(E$3,0))</f>
        <v>0</v>
      </c>
      <c r="F7" s="140">
        <f>SUMIFS(Sorties[Coût TTC],Sorties[Spécification], $A7,Sorties[Date], "&gt;="&amp;F$3,Sorties[Date], "&lt;="&amp;EOMONTH(F$3,0))</f>
        <v>0</v>
      </c>
      <c r="G7" s="140">
        <f>SUMIFS(Sorties[Coût TTC],Sorties[Spécification], $A7,Sorties[Date], "&gt;="&amp;G$3,Sorties[Date], "&lt;="&amp;EOMONTH(G$3,0))</f>
        <v>0</v>
      </c>
      <c r="H7" s="140">
        <f>SUMIFS(Sorties[Coût TTC],Sorties[Spécification], $A7,Sorties[Date], "&gt;="&amp;H$3,Sorties[Date], "&lt;="&amp;EOMONTH(H$3,0))</f>
        <v>0</v>
      </c>
      <c r="I7" s="140">
        <f>SUMIFS(Sorties[Coût TTC],Sorties[Spécification], $A7,Sorties[Date], "&gt;="&amp;I$3,Sorties[Date], "&lt;="&amp;EOMONTH(I$3,0))</f>
        <v>0</v>
      </c>
      <c r="J7" s="140">
        <f>SUMIFS(Sorties[Coût TTC],Sorties[Spécification], $A7,Sorties[Date], "&gt;="&amp;J$3,Sorties[Date], "&lt;="&amp;EOMONTH(J$3,0))</f>
        <v>0</v>
      </c>
      <c r="K7" s="140">
        <f>SUMIFS(Sorties[Coût TTC],Sorties[Spécification], $A7,Sorties[Date], "&gt;="&amp;K$3,Sorties[Date], "&lt;="&amp;EOMONTH(K$3,0))</f>
        <v>0</v>
      </c>
      <c r="L7" s="140">
        <f>SUMIFS(Sorties[Coût TTC],Sorties[Spécification], $A7,Sorties[Date], "&gt;="&amp;L$3,Sorties[Date], "&lt;="&amp;EOMONTH(L$3,0))</f>
        <v>0</v>
      </c>
      <c r="M7" s="140">
        <f>SUMIFS(Sorties[Coût TTC],Sorties[Spécification], $A7,Sorties[Date], "&gt;="&amp;M$3,Sorties[Date], "&lt;="&amp;EOMONTH(M$3,0))</f>
        <v>0</v>
      </c>
      <c r="N7" s="140">
        <f>SUMIFS(Sorties[Coût TTC],Sorties[Spécification], $A7,Sorties[Date], "&gt;="&amp;N$3,Sorties[Date], "&lt;="&amp;EOMONTH(N$3,0))</f>
        <v>0</v>
      </c>
      <c r="O7" s="140">
        <f>SUMIFS(Sorties[Coût TTC],Sorties[Spécification], $A7,Sorties[Date], "&gt;="&amp;O$3,Sorties[Date], "&lt;="&amp;EOMONTH(O$3,0))</f>
        <v>0</v>
      </c>
      <c r="P7" s="141">
        <f t="shared" si="1"/>
        <v>0</v>
      </c>
      <c r="Q7" s="131"/>
      <c r="R7" s="132"/>
      <c r="S7" s="132"/>
      <c r="T7" s="132"/>
      <c r="U7" s="133"/>
    </row>
    <row r="8" ht="19.5" customHeight="1" outlineLevel="2">
      <c r="A8" s="142" t="s">
        <v>54</v>
      </c>
      <c r="D8" s="137">
        <f>SUMIFS(Sorties[Coût TTC],Sorties[Spécification], $A8,Sorties[Date], "&gt;="&amp;D$3,Sorties[Date], "&lt;="&amp;EOMONTH(D$3,0))</f>
        <v>996.48</v>
      </c>
      <c r="E8" s="137">
        <f>SUMIFS(Sorties[Coût TTC],Sorties[Spécification], $A8,Sorties[Date], "&gt;="&amp;E$3,Sorties[Date], "&lt;="&amp;EOMONTH(E$3,0))</f>
        <v>0</v>
      </c>
      <c r="F8" s="137">
        <f>SUMIFS(Sorties[Coût TTC],Sorties[Spécification], $A8,Sorties[Date], "&gt;="&amp;F$3,Sorties[Date], "&lt;="&amp;EOMONTH(F$3,0))</f>
        <v>0</v>
      </c>
      <c r="G8" s="137">
        <f>SUMIFS(Sorties[Coût TTC],Sorties[Spécification], $A8,Sorties[Date], "&gt;="&amp;G$3,Sorties[Date], "&lt;="&amp;EOMONTH(G$3,0))</f>
        <v>265.2</v>
      </c>
      <c r="H8" s="137">
        <f>SUMIFS(Sorties[Coût TTC],Sorties[Spécification], $A8,Sorties[Date], "&gt;="&amp;H$3,Sorties[Date], "&lt;="&amp;EOMONTH(H$3,0))</f>
        <v>0</v>
      </c>
      <c r="I8" s="137">
        <f>SUMIFS(Sorties[Coût TTC],Sorties[Spécification], $A8,Sorties[Date], "&gt;="&amp;I$3,Sorties[Date], "&lt;="&amp;EOMONTH(I$3,0))</f>
        <v>0</v>
      </c>
      <c r="J8" s="137">
        <f>SUMIFS(Sorties[Coût TTC],Sorties[Spécification], $A8,Sorties[Date], "&gt;="&amp;J$3,Sorties[Date], "&lt;="&amp;EOMONTH(J$3,0))</f>
        <v>0</v>
      </c>
      <c r="K8" s="137">
        <f>SUMIFS(Sorties[Coût TTC],Sorties[Spécification], $A8,Sorties[Date], "&gt;="&amp;K$3,Sorties[Date], "&lt;="&amp;EOMONTH(K$3,0))</f>
        <v>0</v>
      </c>
      <c r="L8" s="137">
        <f>SUMIFS(Sorties[Coût TTC],Sorties[Spécification], $A8,Sorties[Date], "&gt;="&amp;L$3,Sorties[Date], "&lt;="&amp;EOMONTH(L$3,0))</f>
        <v>0</v>
      </c>
      <c r="M8" s="137">
        <f>SUMIFS(Sorties[Coût TTC],Sorties[Spécification], $A8,Sorties[Date], "&gt;="&amp;M$3,Sorties[Date], "&lt;="&amp;EOMONTH(M$3,0))</f>
        <v>0</v>
      </c>
      <c r="N8" s="137">
        <f>SUMIFS(Sorties[Coût TTC],Sorties[Spécification], $A8,Sorties[Date], "&gt;="&amp;N$3,Sorties[Date], "&lt;="&amp;EOMONTH(N$3,0))</f>
        <v>0</v>
      </c>
      <c r="O8" s="137">
        <f>SUMIFS(Sorties[Coût TTC],Sorties[Spécification], $A8,Sorties[Date], "&gt;="&amp;O$3,Sorties[Date], "&lt;="&amp;EOMONTH(O$3,0))</f>
        <v>0</v>
      </c>
      <c r="P8" s="138">
        <f t="shared" si="1"/>
        <v>1261.68</v>
      </c>
      <c r="Q8" s="131"/>
      <c r="R8" s="132"/>
      <c r="S8" s="132"/>
      <c r="T8" s="132"/>
      <c r="U8" s="133"/>
    </row>
    <row r="9" ht="19.5" customHeight="1" outlineLevel="1">
      <c r="A9" s="134" t="s">
        <v>184</v>
      </c>
      <c r="D9" s="143"/>
      <c r="Q9" s="131"/>
      <c r="R9" s="132"/>
      <c r="S9" s="132"/>
      <c r="T9" s="132"/>
      <c r="U9" s="133"/>
    </row>
    <row r="10" ht="19.5" customHeight="1" outlineLevel="2">
      <c r="A10" s="136" t="s">
        <v>185</v>
      </c>
      <c r="D10" s="137">
        <f>SUMIFS(Sorties[Coût TTC],Sorties[Spécification], $A10,Sorties[Date], "&gt;="&amp;D$3,Sorties[Date], "&lt;="&amp;EOMONTH(D$3,0))</f>
        <v>0</v>
      </c>
      <c r="E10" s="137">
        <f>SUMIFS(Sorties[Coût TTC],Sorties[Spécification], $A10,Sorties[Date], "&gt;="&amp;E$3,Sorties[Date], "&lt;="&amp;EOMONTH(E$3,0))</f>
        <v>0</v>
      </c>
      <c r="F10" s="137">
        <f>SUMIFS(Sorties[Coût TTC],Sorties[Spécification], $A10,Sorties[Date], "&gt;="&amp;F$3,Sorties[Date], "&lt;="&amp;EOMONTH(F$3,0))</f>
        <v>0</v>
      </c>
      <c r="G10" s="137">
        <f>SUMIFS(Sorties[Coût TTC],Sorties[Spécification], $A10,Sorties[Date], "&gt;="&amp;G$3,Sorties[Date], "&lt;="&amp;EOMONTH(G$3,0))</f>
        <v>0</v>
      </c>
      <c r="H10" s="137">
        <f>SUMIFS(Sorties[Coût TTC],Sorties[Spécification], $A10,Sorties[Date], "&gt;="&amp;H$3,Sorties[Date], "&lt;="&amp;EOMONTH(H$3,0))</f>
        <v>0</v>
      </c>
      <c r="I10" s="137">
        <f>SUMIFS(Sorties[Coût TTC],Sorties[Spécification], $A10,Sorties[Date], "&gt;="&amp;I$3,Sorties[Date], "&lt;="&amp;EOMONTH(I$3,0))</f>
        <v>0</v>
      </c>
      <c r="J10" s="137">
        <f>SUMIFS(Sorties[Coût TTC],Sorties[Spécification], $A10,Sorties[Date], "&gt;="&amp;J$3,Sorties[Date], "&lt;="&amp;EOMONTH(J$3,0))</f>
        <v>0</v>
      </c>
      <c r="K10" s="137">
        <f>SUMIFS(Sorties[Coût TTC],Sorties[Spécification], $A10,Sorties[Date], "&gt;="&amp;K$3,Sorties[Date], "&lt;="&amp;EOMONTH(K$3,0))</f>
        <v>0</v>
      </c>
      <c r="L10" s="137">
        <f>SUMIFS(Sorties[Coût TTC],Sorties[Spécification], $A10,Sorties[Date], "&gt;="&amp;L$3,Sorties[Date], "&lt;="&amp;EOMONTH(L$3,0))</f>
        <v>0</v>
      </c>
      <c r="M10" s="137">
        <f>SUMIFS(Sorties[Coût TTC],Sorties[Spécification], $A10,Sorties[Date], "&gt;="&amp;M$3,Sorties[Date], "&lt;="&amp;EOMONTH(M$3,0))</f>
        <v>0</v>
      </c>
      <c r="N10" s="137">
        <f>SUMIFS(Sorties[Coût TTC],Sorties[Spécification], $A10,Sorties[Date], "&gt;="&amp;N$3,Sorties[Date], "&lt;="&amp;EOMONTH(N$3,0))</f>
        <v>0</v>
      </c>
      <c r="O10" s="137">
        <f>SUMIFS(Sorties[Coût TTC],Sorties[Spécification], $A10,Sorties[Date], "&gt;="&amp;O$3,Sorties[Date], "&lt;="&amp;EOMONTH(O$3,0))</f>
        <v>0</v>
      </c>
      <c r="P10" s="138">
        <f t="shared" ref="P10:P15" si="2">SUM(D10:O10)</f>
        <v>0</v>
      </c>
      <c r="Q10" s="131"/>
      <c r="R10" s="132"/>
      <c r="S10" s="132"/>
      <c r="T10" s="132"/>
      <c r="U10" s="133"/>
    </row>
    <row r="11" ht="19.5" customHeight="1" outlineLevel="2">
      <c r="A11" s="139" t="s">
        <v>80</v>
      </c>
      <c r="D11" s="140">
        <f>SUMIFS(Sorties[Coût TTC],Sorties[Spécification], $A11,Sorties[Date], "&gt;="&amp;D$3,Sorties[Date], "&lt;="&amp;EOMONTH(D$3,0))</f>
        <v>2.99</v>
      </c>
      <c r="E11" s="140">
        <f>SUMIFS(Sorties[Coût TTC],Sorties[Spécification], $A11,Sorties[Date], "&gt;="&amp;E$3,Sorties[Date], "&lt;="&amp;EOMONTH(E$3,0))</f>
        <v>2.99</v>
      </c>
      <c r="F11" s="140">
        <f>SUMIFS(Sorties[Coût TTC],Sorties[Spécification], $A11,Sorties[Date], "&gt;="&amp;F$3,Sorties[Date], "&lt;="&amp;EOMONTH(F$3,0))</f>
        <v>2.99</v>
      </c>
      <c r="G11" s="140">
        <f>SUMIFS(Sorties[Coût TTC],Sorties[Spécification], $A11,Sorties[Date], "&gt;="&amp;G$3,Sorties[Date], "&lt;="&amp;EOMONTH(G$3,0))</f>
        <v>2.99</v>
      </c>
      <c r="H11" s="140">
        <f>SUMIFS(Sorties[Coût TTC],Sorties[Spécification], $A11,Sorties[Date], "&gt;="&amp;H$3,Sorties[Date], "&lt;="&amp;EOMONTH(H$3,0))</f>
        <v>2.99</v>
      </c>
      <c r="I11" s="140">
        <f>SUMIFS(Sorties[Coût TTC],Sorties[Spécification], $A11,Sorties[Date], "&gt;="&amp;I$3,Sorties[Date], "&lt;="&amp;EOMONTH(I$3,0))</f>
        <v>0</v>
      </c>
      <c r="J11" s="140">
        <f>SUMIFS(Sorties[Coût TTC],Sorties[Spécification], $A11,Sorties[Date], "&gt;="&amp;J$3,Sorties[Date], "&lt;="&amp;EOMONTH(J$3,0))</f>
        <v>0</v>
      </c>
      <c r="K11" s="140">
        <f>SUMIFS(Sorties[Coût TTC],Sorties[Spécification], $A11,Sorties[Date], "&gt;="&amp;K$3,Sorties[Date], "&lt;="&amp;EOMONTH(K$3,0))</f>
        <v>0</v>
      </c>
      <c r="L11" s="140">
        <f>SUMIFS(Sorties[Coût TTC],Sorties[Spécification], $A11,Sorties[Date], "&gt;="&amp;L$3,Sorties[Date], "&lt;="&amp;EOMONTH(L$3,0))</f>
        <v>0</v>
      </c>
      <c r="M11" s="140">
        <f>SUMIFS(Sorties[Coût TTC],Sorties[Spécification], $A11,Sorties[Date], "&gt;="&amp;M$3,Sorties[Date], "&lt;="&amp;EOMONTH(M$3,0))</f>
        <v>0</v>
      </c>
      <c r="N11" s="140">
        <f>SUMIFS(Sorties[Coût TTC],Sorties[Spécification], $A11,Sorties[Date], "&gt;="&amp;N$3,Sorties[Date], "&lt;="&amp;EOMONTH(N$3,0))</f>
        <v>0</v>
      </c>
      <c r="O11" s="140">
        <f>SUMIFS(Sorties[Coût TTC],Sorties[Spécification], $A11,Sorties[Date], "&gt;="&amp;O$3,Sorties[Date], "&lt;="&amp;EOMONTH(O$3,0))</f>
        <v>0</v>
      </c>
      <c r="P11" s="141">
        <f t="shared" si="2"/>
        <v>14.95</v>
      </c>
      <c r="Q11" s="131"/>
      <c r="R11" s="132"/>
      <c r="S11" s="132"/>
      <c r="T11" s="132"/>
      <c r="U11" s="133"/>
    </row>
    <row r="12" ht="19.5" customHeight="1" outlineLevel="2">
      <c r="A12" s="136" t="s">
        <v>186</v>
      </c>
      <c r="D12" s="137">
        <f>SUMIFS(Sorties[Coût TTC],Sorties[Spécification], $A12,Sorties[Date], "&gt;="&amp;D$3,Sorties[Date], "&lt;="&amp;EOMONTH(D$3,0))</f>
        <v>0</v>
      </c>
      <c r="E12" s="137">
        <f>SUMIFS(Sorties[Coût TTC],Sorties[Spécification], $A12,Sorties[Date], "&gt;="&amp;E$3,Sorties[Date], "&lt;="&amp;EOMONTH(E$3,0))</f>
        <v>0</v>
      </c>
      <c r="F12" s="137">
        <f>SUMIFS(Sorties[Coût TTC],Sorties[Spécification], $A12,Sorties[Date], "&gt;="&amp;F$3,Sorties[Date], "&lt;="&amp;EOMONTH(F$3,0))</f>
        <v>0</v>
      </c>
      <c r="G12" s="137">
        <f>SUMIFS(Sorties[Coût TTC],Sorties[Spécification], $A12,Sorties[Date], "&gt;="&amp;G$3,Sorties[Date], "&lt;="&amp;EOMONTH(G$3,0))</f>
        <v>0</v>
      </c>
      <c r="H12" s="137">
        <f>SUMIFS(Sorties[Coût TTC],Sorties[Spécification], $A12,Sorties[Date], "&gt;="&amp;H$3,Sorties[Date], "&lt;="&amp;EOMONTH(H$3,0))</f>
        <v>0</v>
      </c>
      <c r="I12" s="137">
        <f>SUMIFS(Sorties[Coût TTC],Sorties[Spécification], $A12,Sorties[Date], "&gt;="&amp;I$3,Sorties[Date], "&lt;="&amp;EOMONTH(I$3,0))</f>
        <v>0</v>
      </c>
      <c r="J12" s="137">
        <f>SUMIFS(Sorties[Coût TTC],Sorties[Spécification], $A12,Sorties[Date], "&gt;="&amp;J$3,Sorties[Date], "&lt;="&amp;EOMONTH(J$3,0))</f>
        <v>0</v>
      </c>
      <c r="K12" s="137">
        <f>SUMIFS(Sorties[Coût TTC],Sorties[Spécification], $A12,Sorties[Date], "&gt;="&amp;K$3,Sorties[Date], "&lt;="&amp;EOMONTH(K$3,0))</f>
        <v>0</v>
      </c>
      <c r="L12" s="137">
        <f>SUMIFS(Sorties[Coût TTC],Sorties[Spécification], $A12,Sorties[Date], "&gt;="&amp;L$3,Sorties[Date], "&lt;="&amp;EOMONTH(L$3,0))</f>
        <v>0</v>
      </c>
      <c r="M12" s="137">
        <f>SUMIFS(Sorties[Coût TTC],Sorties[Spécification], $A12,Sorties[Date], "&gt;="&amp;M$3,Sorties[Date], "&lt;="&amp;EOMONTH(M$3,0))</f>
        <v>0</v>
      </c>
      <c r="N12" s="137">
        <f>SUMIFS(Sorties[Coût TTC],Sorties[Spécification], $A12,Sorties[Date], "&gt;="&amp;N$3,Sorties[Date], "&lt;="&amp;EOMONTH(N$3,0))</f>
        <v>0</v>
      </c>
      <c r="O12" s="137">
        <f>SUMIFS(Sorties[Coût TTC],Sorties[Spécification], $A12,Sorties[Date], "&gt;="&amp;O$3,Sorties[Date], "&lt;="&amp;EOMONTH(O$3,0))</f>
        <v>0</v>
      </c>
      <c r="P12" s="138">
        <f t="shared" si="2"/>
        <v>0</v>
      </c>
      <c r="Q12" s="131"/>
      <c r="R12" s="132"/>
      <c r="S12" s="132"/>
      <c r="T12" s="132"/>
      <c r="U12" s="133"/>
    </row>
    <row r="13" ht="19.5" customHeight="1" outlineLevel="2">
      <c r="A13" s="139" t="s">
        <v>136</v>
      </c>
      <c r="D13" s="140">
        <f>SUMIFS(Sorties[Coût TTC],Sorties[Spécification], $A13,Sorties[Date], "&gt;="&amp;D$3,Sorties[Date], "&lt;="&amp;EOMONTH(D$3,0))</f>
        <v>0</v>
      </c>
      <c r="E13" s="140">
        <f>SUMIFS(Sorties[Coût TTC],Sorties[Spécification], $A13,Sorties[Date], "&gt;="&amp;E$3,Sorties[Date], "&lt;="&amp;EOMONTH(E$3,0))</f>
        <v>0</v>
      </c>
      <c r="F13" s="140">
        <f>SUMIFS(Sorties[Coût TTC],Sorties[Spécification], $A13,Sorties[Date], "&gt;="&amp;F$3,Sorties[Date], "&lt;="&amp;EOMONTH(F$3,0))</f>
        <v>0</v>
      </c>
      <c r="G13" s="140">
        <f>SUMIFS(Sorties[Coût TTC],Sorties[Spécification], $A13,Sorties[Date], "&gt;="&amp;G$3,Sorties[Date], "&lt;="&amp;EOMONTH(G$3,0))</f>
        <v>0</v>
      </c>
      <c r="H13" s="140">
        <f>SUMIFS(Sorties[Coût TTC],Sorties[Spécification], $A13,Sorties[Date], "&gt;="&amp;H$3,Sorties[Date], "&lt;="&amp;EOMONTH(H$3,0))</f>
        <v>0</v>
      </c>
      <c r="I13" s="140"/>
      <c r="J13" s="140"/>
      <c r="K13" s="140"/>
      <c r="L13" s="140"/>
      <c r="M13" s="140"/>
      <c r="N13" s="140"/>
      <c r="O13" s="140"/>
      <c r="P13" s="141">
        <f t="shared" si="2"/>
        <v>0</v>
      </c>
      <c r="Q13" s="131"/>
      <c r="R13" s="132"/>
      <c r="S13" s="132"/>
      <c r="T13" s="132"/>
      <c r="U13" s="133"/>
    </row>
    <row r="14" ht="19.5" customHeight="1" outlineLevel="2">
      <c r="A14" s="136" t="s">
        <v>77</v>
      </c>
      <c r="D14" s="137">
        <f>SUMIFS(Sorties[Coût TTC],Sorties[Spécification], $A14,Sorties[Date], "&gt;="&amp;D$3,Sorties[Date], "&lt;="&amp;EOMONTH(D$3,0))</f>
        <v>274.92</v>
      </c>
      <c r="E14" s="137">
        <f>SUMIFS(Sorties[Coût TTC],Sorties[Spécification], $A14,Sorties[Date], "&gt;="&amp;E$3,Sorties[Date], "&lt;="&amp;EOMONTH(E$3,0))</f>
        <v>0</v>
      </c>
      <c r="F14" s="137">
        <f>SUMIFS(Sorties[Coût TTC],Sorties[Spécification], $A14,Sorties[Date], "&gt;="&amp;F$3,Sorties[Date], "&lt;="&amp;EOMONTH(F$3,0))</f>
        <v>0</v>
      </c>
      <c r="G14" s="137">
        <f>SUMIFS(Sorties[Coût TTC],Sorties[Spécification], $A14,Sorties[Date], "&gt;="&amp;G$3,Sorties[Date], "&lt;="&amp;EOMONTH(G$3,0))</f>
        <v>0</v>
      </c>
      <c r="H14" s="137">
        <f>SUMIFS(Sorties[Coût TTC],Sorties[Spécification], $A14,Sorties[Date], "&gt;="&amp;H$3,Sorties[Date], "&lt;="&amp;EOMONTH(H$3,0))</f>
        <v>0</v>
      </c>
      <c r="I14" s="137">
        <f>SUMIFS(Sorties[Coût TTC],Sorties[Spécification], $A14,Sorties[Date], "&gt;="&amp;I$3,Sorties[Date], "&lt;="&amp;EOMONTH(I$3,0))</f>
        <v>0</v>
      </c>
      <c r="J14" s="137">
        <f>SUMIFS(Sorties[Coût TTC],Sorties[Spécification], $A14,Sorties[Date], "&gt;="&amp;J$3,Sorties[Date], "&lt;="&amp;EOMONTH(J$3,0))</f>
        <v>0</v>
      </c>
      <c r="K14" s="137">
        <f>SUMIFS(Sorties[Coût TTC],Sorties[Spécification], $A14,Sorties[Date], "&gt;="&amp;K$3,Sorties[Date], "&lt;="&amp;EOMONTH(K$3,0))</f>
        <v>0</v>
      </c>
      <c r="L14" s="137">
        <f>SUMIFS(Sorties[Coût TTC],Sorties[Spécification], $A14,Sorties[Date], "&gt;="&amp;L$3,Sorties[Date], "&lt;="&amp;EOMONTH(L$3,0))</f>
        <v>0</v>
      </c>
      <c r="M14" s="137">
        <f>SUMIFS(Sorties[Coût TTC],Sorties[Spécification], $A14,Sorties[Date], "&gt;="&amp;M$3,Sorties[Date], "&lt;="&amp;EOMONTH(M$3,0))</f>
        <v>0</v>
      </c>
      <c r="N14" s="137">
        <f>SUMIFS(Sorties[Coût TTC],Sorties[Spécification], $A14,Sorties[Date], "&gt;="&amp;N$3,Sorties[Date], "&lt;="&amp;EOMONTH(N$3,0))</f>
        <v>0</v>
      </c>
      <c r="O14" s="137">
        <f>SUMIFS(Sorties[Coût TTC],Sorties[Spécification], $A14,Sorties[Date], "&gt;="&amp;O$3,Sorties[Date], "&lt;="&amp;EOMONTH(O$3,0))</f>
        <v>0</v>
      </c>
      <c r="P14" s="138">
        <f t="shared" si="2"/>
        <v>274.92</v>
      </c>
      <c r="Q14" s="131"/>
      <c r="R14" s="132"/>
      <c r="S14" s="132"/>
      <c r="T14" s="132"/>
      <c r="U14" s="133"/>
    </row>
    <row r="15" ht="19.5" customHeight="1" outlineLevel="2">
      <c r="A15" s="144" t="s">
        <v>85</v>
      </c>
      <c r="D15" s="140">
        <f>SUMIFS(Sorties[Coût TTC],Sorties[Spécification], $A15,Sorties[Date], "&gt;="&amp;D$3,Sorties[Date], "&lt;="&amp;EOMONTH(D$3,0))</f>
        <v>1.87</v>
      </c>
      <c r="E15" s="140">
        <f>SUMIFS(Sorties[Coût TTC],Sorties[Spécification], $A15,Sorties[Date], "&gt;="&amp;E$3,Sorties[Date], "&lt;="&amp;EOMONTH(E$3,0))</f>
        <v>0</v>
      </c>
      <c r="F15" s="140">
        <f>SUMIFS(Sorties[Coût TTC],Sorties[Spécification], $A15,Sorties[Date], "&gt;="&amp;F$3,Sorties[Date], "&lt;="&amp;EOMONTH(F$3,0))</f>
        <v>0</v>
      </c>
      <c r="G15" s="140">
        <f>SUMIFS(Sorties[Coût TTC],Sorties[Spécification], $A15,Sorties[Date], "&gt;="&amp;G$3,Sorties[Date], "&lt;="&amp;EOMONTH(G$3,0))</f>
        <v>0</v>
      </c>
      <c r="H15" s="140">
        <f>SUMIFS(Sorties[Coût TTC],Sorties[Spécification], $A15,Sorties[Date], "&gt;="&amp;H$3,Sorties[Date], "&lt;="&amp;EOMONTH(H$3,0))</f>
        <v>0</v>
      </c>
      <c r="I15" s="140">
        <f>SUMIFS(Sorties[Coût TTC],Sorties[Spécification], $A15,Sorties[Date], "&gt;="&amp;I$3,Sorties[Date], "&lt;="&amp;EOMONTH(I$3,0))</f>
        <v>0</v>
      </c>
      <c r="J15" s="140">
        <f>SUMIFS(Sorties[Coût TTC],Sorties[Spécification], $A15,Sorties[Date], "&gt;="&amp;J$3,Sorties[Date], "&lt;="&amp;EOMONTH(J$3,0))</f>
        <v>0</v>
      </c>
      <c r="K15" s="140">
        <f>SUMIFS(Sorties[Coût TTC],Sorties[Spécification], $A15,Sorties[Date], "&gt;="&amp;K$3,Sorties[Date], "&lt;="&amp;EOMONTH(K$3,0))</f>
        <v>0</v>
      </c>
      <c r="L15" s="140">
        <f>SUMIFS(Sorties[Coût TTC],Sorties[Spécification], $A15,Sorties[Date], "&gt;="&amp;L$3,Sorties[Date], "&lt;="&amp;EOMONTH(L$3,0))</f>
        <v>0</v>
      </c>
      <c r="M15" s="140">
        <f>SUMIFS(Sorties[Coût TTC],Sorties[Spécification], $A15,Sorties[Date], "&gt;="&amp;M$3,Sorties[Date], "&lt;="&amp;EOMONTH(M$3,0))</f>
        <v>0</v>
      </c>
      <c r="N15" s="140">
        <f>SUMIFS(Sorties[Coût TTC],Sorties[Spécification], $A15,Sorties[Date], "&gt;="&amp;N$3,Sorties[Date], "&lt;="&amp;EOMONTH(N$3,0))</f>
        <v>0</v>
      </c>
      <c r="O15" s="140">
        <f>SUMIFS(Sorties[Coût TTC],Sorties[Spécification], $A15,Sorties[Date], "&gt;="&amp;O$3,Sorties[Date], "&lt;="&amp;EOMONTH(O$3,0))</f>
        <v>0</v>
      </c>
      <c r="P15" s="141">
        <f t="shared" si="2"/>
        <v>1.87</v>
      </c>
      <c r="Q15" s="131"/>
      <c r="R15" s="132"/>
      <c r="S15" s="132"/>
      <c r="T15" s="132"/>
      <c r="U15" s="133"/>
    </row>
    <row r="16" ht="19.5" customHeight="1" outlineLevel="1">
      <c r="A16" s="134" t="s">
        <v>187</v>
      </c>
      <c r="D16" s="143"/>
      <c r="Q16" s="131"/>
      <c r="R16" s="132"/>
      <c r="S16" s="132"/>
      <c r="T16" s="132"/>
      <c r="U16" s="133"/>
    </row>
    <row r="17" ht="19.5" customHeight="1" outlineLevel="2">
      <c r="A17" s="136" t="s">
        <v>104</v>
      </c>
      <c r="D17" s="137">
        <f>SUMIFS(Sorties[Coût TTC],Sorties[Spécification], $A17,Sorties[Date], "&gt;="&amp;D$3,Sorties[Date], "&lt;="&amp;EOMONTH(D$3,0))</f>
        <v>0</v>
      </c>
      <c r="E17" s="137">
        <f>SUMIFS(Sorties[Coût TTC],Sorties[Spécification], $A17,Sorties[Date], "&gt;="&amp;E$3,Sorties[Date], "&lt;="&amp;EOMONTH(E$3,0))</f>
        <v>26.1</v>
      </c>
      <c r="F17" s="137">
        <f>SUMIFS(Sorties[Coût TTC],Sorties[Spécification], $A17,Sorties[Date], "&gt;="&amp;F$3,Sorties[Date], "&lt;="&amp;EOMONTH(F$3,0))</f>
        <v>0</v>
      </c>
      <c r="G17" s="137">
        <f>SUMIFS(Sorties[Coût TTC],Sorties[Spécification], $A17,Sorties[Date], "&gt;="&amp;G$3,Sorties[Date], "&lt;="&amp;EOMONTH(G$3,0))</f>
        <v>0</v>
      </c>
      <c r="H17" s="137">
        <f>SUMIFS(Sorties[Coût TTC],Sorties[Spécification], $A17,Sorties[Date], "&gt;="&amp;H$3,Sorties[Date], "&lt;="&amp;EOMONTH(H$3,0))</f>
        <v>0</v>
      </c>
      <c r="I17" s="137">
        <f>SUMIFS(Sorties[Coût TTC],Sorties[Spécification], $A17,Sorties[Date], "&gt;="&amp;I$3,Sorties[Date], "&lt;="&amp;EOMONTH(I$3,0))</f>
        <v>0</v>
      </c>
      <c r="J17" s="137">
        <f>SUMIFS(Sorties[Coût TTC],Sorties[Spécification], $A17,Sorties[Date], "&gt;="&amp;J$3,Sorties[Date], "&lt;="&amp;EOMONTH(J$3,0))</f>
        <v>0</v>
      </c>
      <c r="K17" s="137">
        <f>SUMIFS(Sorties[Coût TTC],Sorties[Spécification], $A17,Sorties[Date], "&gt;="&amp;K$3,Sorties[Date], "&lt;="&amp;EOMONTH(K$3,0))</f>
        <v>0</v>
      </c>
      <c r="L17" s="137">
        <f>SUMIFS(Sorties[Coût TTC],Sorties[Spécification], $A17,Sorties[Date], "&gt;="&amp;L$3,Sorties[Date], "&lt;="&amp;EOMONTH(L$3,0))</f>
        <v>0</v>
      </c>
      <c r="M17" s="137">
        <f>SUMIFS(Sorties[Coût TTC],Sorties[Spécification], $A17,Sorties[Date], "&gt;="&amp;M$3,Sorties[Date], "&lt;="&amp;EOMONTH(M$3,0))</f>
        <v>0</v>
      </c>
      <c r="N17" s="137">
        <f>SUMIFS(Sorties[Coût TTC],Sorties[Spécification], $A17,Sorties[Date], "&gt;="&amp;N$3,Sorties[Date], "&lt;="&amp;EOMONTH(N$3,0))</f>
        <v>0</v>
      </c>
      <c r="O17" s="137">
        <f>SUMIFS(Sorties[Coût TTC],Sorties[Spécification], $A17,Sorties[Date], "&gt;="&amp;O$3,Sorties[Date], "&lt;="&amp;EOMONTH(O$3,0))</f>
        <v>0</v>
      </c>
      <c r="P17" s="138">
        <f t="shared" ref="P17:P18" si="3">SUM(D17:O17)</f>
        <v>26.1</v>
      </c>
      <c r="Q17" s="131"/>
      <c r="R17" s="132"/>
      <c r="S17" s="132"/>
      <c r="T17" s="132"/>
      <c r="U17" s="133"/>
    </row>
    <row r="18" ht="19.5" customHeight="1" outlineLevel="2">
      <c r="A18" s="139" t="s">
        <v>91</v>
      </c>
      <c r="D18" s="140">
        <f>SUMIFS(Sorties[Coût TTC],Sorties[Spécification], $A18,Sorties[Date], "&gt;="&amp;D$3,Sorties[Date], "&lt;="&amp;EOMONTH(D$3,0))</f>
        <v>568.91</v>
      </c>
      <c r="E18" s="140">
        <f>SUMIFS(Sorties[Coût TTC],Sorties[Spécification], $A18,Sorties[Date], "&gt;="&amp;E$3,Sorties[Date], "&lt;="&amp;EOMONTH(E$3,0))</f>
        <v>20.88</v>
      </c>
      <c r="F18" s="140">
        <f>SUMIFS(Sorties[Coût TTC],Sorties[Spécification], $A18,Sorties[Date], "&gt;="&amp;F$3,Sorties[Date], "&lt;="&amp;EOMONTH(F$3,0))</f>
        <v>0</v>
      </c>
      <c r="G18" s="140">
        <f>SUMIFS(Sorties[Coût TTC],Sorties[Spécification], $A18,Sorties[Date], "&gt;="&amp;G$3,Sorties[Date], "&lt;="&amp;EOMONTH(G$3,0))</f>
        <v>0</v>
      </c>
      <c r="H18" s="140">
        <f>SUMIFS(Sorties[Coût TTC],Sorties[Spécification], $A18,Sorties[Date], "&gt;="&amp;H$3,Sorties[Date], "&lt;="&amp;EOMONTH(H$3,0))</f>
        <v>0</v>
      </c>
      <c r="I18" s="140">
        <f>SUMIFS(Sorties[Coût TTC],Sorties[Spécification], $A18,Sorties[Date], "&gt;="&amp;I$3,Sorties[Date], "&lt;="&amp;EOMONTH(I$3,0))</f>
        <v>0</v>
      </c>
      <c r="J18" s="140">
        <f>SUMIFS(Sorties[Coût TTC],Sorties[Spécification], $A18,Sorties[Date], "&gt;="&amp;J$3,Sorties[Date], "&lt;="&amp;EOMONTH(J$3,0))</f>
        <v>0</v>
      </c>
      <c r="K18" s="140">
        <f>SUMIFS(Sorties[Coût TTC],Sorties[Spécification], $A18,Sorties[Date], "&gt;="&amp;K$3,Sorties[Date], "&lt;="&amp;EOMONTH(K$3,0))</f>
        <v>0</v>
      </c>
      <c r="L18" s="140">
        <f>SUMIFS(Sorties[Coût TTC],Sorties[Spécification], $A18,Sorties[Date], "&gt;="&amp;L$3,Sorties[Date], "&lt;="&amp;EOMONTH(L$3,0))</f>
        <v>0</v>
      </c>
      <c r="M18" s="140">
        <f>SUMIFS(Sorties[Coût TTC],Sorties[Spécification], $A18,Sorties[Date], "&gt;="&amp;M$3,Sorties[Date], "&lt;="&amp;EOMONTH(M$3,0))</f>
        <v>0</v>
      </c>
      <c r="N18" s="140">
        <f>SUMIFS(Sorties[Coût TTC],Sorties[Spécification], $A18,Sorties[Date], "&gt;="&amp;N$3,Sorties[Date], "&lt;="&amp;EOMONTH(N$3,0))</f>
        <v>0</v>
      </c>
      <c r="O18" s="140">
        <f>SUMIFS(Sorties[Coût TTC],Sorties[Spécification], $A18,Sorties[Date], "&gt;="&amp;O$3,Sorties[Date], "&lt;="&amp;EOMONTH(O$3,0))</f>
        <v>0</v>
      </c>
      <c r="P18" s="141">
        <f t="shared" si="3"/>
        <v>589.79</v>
      </c>
      <c r="Q18" s="131"/>
      <c r="R18" s="132"/>
      <c r="S18" s="132"/>
      <c r="T18" s="132"/>
      <c r="U18" s="133"/>
    </row>
    <row r="19" ht="19.5" customHeight="1" outlineLevel="2">
      <c r="A19" s="136" t="s">
        <v>120</v>
      </c>
      <c r="D19" s="137">
        <f>SUMIFS(Sorties[Coût TTC],Sorties[Spécification], $A19,Sorties[Date], "&gt;="&amp;D$3,Sorties[Date], "&lt;="&amp;EOMONTH(D$3,0))</f>
        <v>0</v>
      </c>
      <c r="E19" s="137">
        <f>SUMIFS(Sorties[Coût TTC],Sorties[Spécification], $A19,Sorties[Date], "&gt;="&amp;E$3,Sorties[Date], "&lt;="&amp;EOMONTH(E$3,0))</f>
        <v>0</v>
      </c>
      <c r="F19" s="137">
        <f>SUMIFS(Sorties[Coût TTC],Sorties[Spécification], $A19,Sorties[Date], "&gt;="&amp;F$3,Sorties[Date], "&lt;="&amp;EOMONTH(F$3,0))</f>
        <v>0</v>
      </c>
      <c r="G19" s="137">
        <f>SUMIFS(Sorties[Coût TTC],Sorties[Spécification], $A19,Sorties[Date], "&gt;="&amp;G$3,Sorties[Date], "&lt;="&amp;EOMONTH(G$3,0))</f>
        <v>0</v>
      </c>
      <c r="H19" s="137">
        <f>SUMIFS(Sorties[Coût TTC],Sorties[Spécification], $A19,Sorties[Date], "&gt;="&amp;H$3,Sorties[Date], "&lt;="&amp;EOMONTH(H$3,0))</f>
        <v>466</v>
      </c>
      <c r="I19" s="137">
        <f>SUMIFS(Sorties[Coût TTC],Sorties[Spécification], $A19,Sorties[Date], "&gt;="&amp;I$3,Sorties[Date], "&lt;="&amp;EOMONTH(I$3,0))</f>
        <v>0</v>
      </c>
      <c r="J19" s="137">
        <f>SUMIFS(Sorties[Coût TTC],Sorties[Spécification], $A19,Sorties[Date], "&gt;="&amp;J$3,Sorties[Date], "&lt;="&amp;EOMONTH(J$3,0))</f>
        <v>0</v>
      </c>
      <c r="K19" s="137">
        <f>SUMIFS(Sorties[Coût TTC],Sorties[Spécification], $A19,Sorties[Date], "&gt;="&amp;K$3,Sorties[Date], "&lt;="&amp;EOMONTH(K$3,0))</f>
        <v>0</v>
      </c>
      <c r="L19" s="137">
        <f>SUMIFS(Sorties[Coût TTC],Sorties[Spécification], $A19,Sorties[Date], "&gt;="&amp;L$3,Sorties[Date], "&lt;="&amp;EOMONTH(L$3,0))</f>
        <v>0</v>
      </c>
      <c r="M19" s="137">
        <f>SUMIFS(Sorties[Coût TTC],Sorties[Spécification], $A19,Sorties[Date], "&gt;="&amp;M$3,Sorties[Date], "&lt;="&amp;EOMONTH(M$3,0))</f>
        <v>0</v>
      </c>
      <c r="N19" s="137">
        <f>SUMIFS(Sorties[Coût TTC],Sorties[Spécification], $A19,Sorties[Date], "&gt;="&amp;N$3,Sorties[Date], "&lt;="&amp;EOMONTH(N$3,0))</f>
        <v>0</v>
      </c>
      <c r="O19" s="137">
        <f>SUMIFS(Sorties[Coût TTC],Sorties[Spécification], $A19,Sorties[Date], "&gt;="&amp;O$3,Sorties[Date], "&lt;="&amp;EOMONTH(O$3,0))</f>
        <v>0</v>
      </c>
      <c r="P19" s="138"/>
      <c r="Q19" s="131"/>
      <c r="R19" s="132"/>
      <c r="S19" s="132"/>
      <c r="T19" s="132"/>
      <c r="U19" s="133"/>
    </row>
    <row r="20" ht="19.5" customHeight="1" outlineLevel="1">
      <c r="A20" s="134" t="s">
        <v>188</v>
      </c>
      <c r="D20" s="143"/>
      <c r="Q20" s="131"/>
      <c r="R20" s="132"/>
      <c r="S20" s="132"/>
      <c r="T20" s="132"/>
      <c r="U20" s="133"/>
    </row>
    <row r="21" ht="19.5" customHeight="1" outlineLevel="2">
      <c r="A21" s="136" t="s">
        <v>117</v>
      </c>
      <c r="D21" s="137">
        <f>SUMIFS(Sorties[Coût TTC],Sorties[Spécification], $A21,Sorties[Date], "&gt;="&amp;D$3,Sorties[Date], "&lt;="&amp;EOMONTH(D$3,0))</f>
        <v>0</v>
      </c>
      <c r="E21" s="137">
        <f>SUMIFS(Sorties[Coût TTC],Sorties[Spécification], $A21,Sorties[Date], "&gt;="&amp;E$3,Sorties[Date], "&lt;="&amp;EOMONTH(E$3,0))</f>
        <v>0</v>
      </c>
      <c r="F21" s="137">
        <f>SUMIFS(Sorties[Coût TTC],Sorties[Spécification], $A21,Sorties[Date], "&gt;="&amp;F$3,Sorties[Date], "&lt;="&amp;EOMONTH(F$3,0))</f>
        <v>0</v>
      </c>
      <c r="G21" s="137">
        <f>SUMIFS(Sorties[Coût TTC],Sorties[Spécification], $A21,Sorties[Date], "&gt;="&amp;G$3,Sorties[Date], "&lt;="&amp;EOMONTH(G$3,0))</f>
        <v>150</v>
      </c>
      <c r="H21" s="137">
        <f>SUMIFS(Sorties[Coût TTC],Sorties[Spécification], $A21,Sorties[Date], "&gt;="&amp;H$3,Sorties[Date], "&lt;="&amp;EOMONTH(H$3,0))</f>
        <v>0</v>
      </c>
      <c r="I21" s="137">
        <f>SUMIFS(Sorties[Coût TTC],Sorties[Spécification], $A21,Sorties[Date], "&gt;="&amp;I$3,Sorties[Date], "&lt;="&amp;EOMONTH(I$3,0))</f>
        <v>0</v>
      </c>
      <c r="J21" s="137">
        <f>SUMIFS(Sorties[Coût TTC],Sorties[Spécification], $A21,Sorties[Date], "&gt;="&amp;J$3,Sorties[Date], "&lt;="&amp;EOMONTH(J$3,0))</f>
        <v>0</v>
      </c>
      <c r="K21" s="137">
        <f>SUMIFS(Sorties[Coût TTC],Sorties[Spécification], $A21,Sorties[Date], "&gt;="&amp;K$3,Sorties[Date], "&lt;="&amp;EOMONTH(K$3,0))</f>
        <v>0</v>
      </c>
      <c r="L21" s="137">
        <f>SUMIFS(Sorties[Coût TTC],Sorties[Spécification], $A21,Sorties[Date], "&gt;="&amp;L$3,Sorties[Date], "&lt;="&amp;EOMONTH(L$3,0))</f>
        <v>0</v>
      </c>
      <c r="M21" s="137">
        <f>SUMIFS(Sorties[Coût TTC],Sorties[Spécification], $A21,Sorties[Date], "&gt;="&amp;M$3,Sorties[Date], "&lt;="&amp;EOMONTH(M$3,0))</f>
        <v>0</v>
      </c>
      <c r="N21" s="137">
        <f>SUMIFS(Sorties[Coût TTC],Sorties[Spécification], $A21,Sorties[Date], "&gt;="&amp;N$3,Sorties[Date], "&lt;="&amp;EOMONTH(N$3,0))</f>
        <v>0</v>
      </c>
      <c r="O21" s="137">
        <f>SUMIFS(Sorties[Coût TTC],Sorties[Spécification], $A21,Sorties[Date], "&gt;="&amp;O$3,Sorties[Date], "&lt;="&amp;EOMONTH(O$3,0))</f>
        <v>0</v>
      </c>
      <c r="P21" s="138">
        <f t="shared" ref="P21:P23" si="4">SUM(D21:O21)</f>
        <v>150</v>
      </c>
      <c r="Q21" s="131"/>
      <c r="R21" s="132"/>
      <c r="S21" s="132"/>
      <c r="T21" s="132"/>
      <c r="U21" s="133"/>
    </row>
    <row r="22" ht="19.5" customHeight="1" outlineLevel="2">
      <c r="A22" s="139" t="s">
        <v>189</v>
      </c>
      <c r="D22" s="140">
        <f>SUMIFS(Sorties[Coût TTC],Sorties[Spécification], $A22,Sorties[Date], "&gt;="&amp;D$3,Sorties[Date], "&lt;="&amp;EOMONTH(D$3,0))</f>
        <v>0</v>
      </c>
      <c r="E22" s="140">
        <f>SUMIFS(Sorties[Coût TTC],Sorties[Spécification], $A22,Sorties[Date], "&gt;="&amp;E$3,Sorties[Date], "&lt;="&amp;EOMONTH(E$3,0))</f>
        <v>0</v>
      </c>
      <c r="F22" s="140">
        <f>SUMIFS(Sorties[Coût TTC],Sorties[Spécification], $A22,Sorties[Date], "&gt;="&amp;F$3,Sorties[Date], "&lt;="&amp;EOMONTH(F$3,0))</f>
        <v>0</v>
      </c>
      <c r="G22" s="140">
        <f>SUMIFS(Sorties[Coût TTC],Sorties[Spécification], $A22,Sorties[Date], "&gt;="&amp;G$3,Sorties[Date], "&lt;="&amp;EOMONTH(G$3,0))</f>
        <v>0</v>
      </c>
      <c r="H22" s="140">
        <f>SUMIFS(Sorties[Coût TTC],Sorties[Spécification], $A22,Sorties[Date], "&gt;="&amp;H$3,Sorties[Date], "&lt;="&amp;EOMONTH(H$3,0))</f>
        <v>0</v>
      </c>
      <c r="I22" s="140">
        <f>SUMIFS(Sorties[Coût TTC],Sorties[Spécification], $A22,Sorties[Date], "&gt;="&amp;I$3,Sorties[Date], "&lt;="&amp;EOMONTH(I$3,0))</f>
        <v>0</v>
      </c>
      <c r="J22" s="140">
        <f>SUMIFS(Sorties[Coût TTC],Sorties[Spécification], $A22,Sorties[Date], "&gt;="&amp;J$3,Sorties[Date], "&lt;="&amp;EOMONTH(J$3,0))</f>
        <v>0</v>
      </c>
      <c r="K22" s="140">
        <f>SUMIFS(Sorties[Coût TTC],Sorties[Spécification], $A22,Sorties[Date], "&gt;="&amp;K$3,Sorties[Date], "&lt;="&amp;EOMONTH(K$3,0))</f>
        <v>0</v>
      </c>
      <c r="L22" s="140">
        <f>SUMIFS(Sorties[Coût TTC],Sorties[Spécification], $A22,Sorties[Date], "&gt;="&amp;L$3,Sorties[Date], "&lt;="&amp;EOMONTH(L$3,0))</f>
        <v>0</v>
      </c>
      <c r="M22" s="140">
        <f>SUMIFS(Sorties[Coût TTC],Sorties[Spécification], $A22,Sorties[Date], "&gt;="&amp;M$3,Sorties[Date], "&lt;="&amp;EOMONTH(M$3,0))</f>
        <v>0</v>
      </c>
      <c r="N22" s="140">
        <f>SUMIFS(Sorties[Coût TTC],Sorties[Spécification], $A22,Sorties[Date], "&gt;="&amp;N$3,Sorties[Date], "&lt;="&amp;EOMONTH(N$3,0))</f>
        <v>0</v>
      </c>
      <c r="O22" s="140">
        <f>SUMIFS(Sorties[Coût TTC],Sorties[Spécification], $A22,Sorties[Date], "&gt;="&amp;O$3,Sorties[Date], "&lt;="&amp;EOMONTH(O$3,0))</f>
        <v>0</v>
      </c>
      <c r="P22" s="141">
        <f t="shared" si="4"/>
        <v>0</v>
      </c>
      <c r="Q22" s="131"/>
      <c r="R22" s="132"/>
      <c r="S22" s="132"/>
      <c r="T22" s="132"/>
      <c r="U22" s="133"/>
    </row>
    <row r="23" ht="19.5" customHeight="1" outlineLevel="2">
      <c r="A23" s="136" t="s">
        <v>109</v>
      </c>
      <c r="D23" s="137">
        <f>SUMIFS(Sorties[Coût TTC],Sorties[Spécification], $A23,Sorties[Date], "&gt;="&amp;D$3,Sorties[Date], "&lt;="&amp;EOMONTH(D$3,0))</f>
        <v>0</v>
      </c>
      <c r="E23" s="137">
        <f>SUMIFS(Sorties[Coût TTC],Sorties[Spécification], $A23,Sorties[Date], "&gt;="&amp;E$3,Sorties[Date], "&lt;="&amp;EOMONTH(E$3,0))</f>
        <v>0</v>
      </c>
      <c r="F23" s="137">
        <f>SUMIFS(Sorties[Coût TTC],Sorties[Spécification], $A23,Sorties[Date], "&gt;="&amp;F$3,Sorties[Date], "&lt;="&amp;EOMONTH(F$3,0))</f>
        <v>1327.5</v>
      </c>
      <c r="G23" s="137">
        <f>SUMIFS(Sorties[Coût TTC],Sorties[Spécification], $A23,Sorties[Date], "&gt;="&amp;G$3,Sorties[Date], "&lt;="&amp;EOMONTH(G$3,0))</f>
        <v>0</v>
      </c>
      <c r="H23" s="137">
        <f>SUMIFS(Sorties[Coût TTC],Sorties[Spécification], $A23,Sorties[Date], "&gt;="&amp;H$3,Sorties[Date], "&lt;="&amp;EOMONTH(H$3,0))</f>
        <v>0</v>
      </c>
      <c r="I23" s="137">
        <f>SUMIFS(Sorties[Coût TTC],Sorties[Spécification], $A23,Sorties[Date], "&gt;="&amp;I$3,Sorties[Date], "&lt;="&amp;EOMONTH(I$3,0))</f>
        <v>0</v>
      </c>
      <c r="J23" s="137">
        <f>SUMIFS(Sorties[Coût TTC],Sorties[Spécification], $A23,Sorties[Date], "&gt;="&amp;J$3,Sorties[Date], "&lt;="&amp;EOMONTH(J$3,0))</f>
        <v>0</v>
      </c>
      <c r="K23" s="137">
        <f>SUMIFS(Sorties[Coût TTC],Sorties[Spécification], $A23,Sorties[Date], "&gt;="&amp;K$3,Sorties[Date], "&lt;="&amp;EOMONTH(K$3,0))</f>
        <v>0</v>
      </c>
      <c r="L23" s="137">
        <f>SUMIFS(Sorties[Coût TTC],Sorties[Spécification], $A23,Sorties[Date], "&gt;="&amp;L$3,Sorties[Date], "&lt;="&amp;EOMONTH(L$3,0))</f>
        <v>0</v>
      </c>
      <c r="M23" s="137">
        <f>SUMIFS(Sorties[Coût TTC],Sorties[Spécification], $A23,Sorties[Date], "&gt;="&amp;M$3,Sorties[Date], "&lt;="&amp;EOMONTH(M$3,0))</f>
        <v>0</v>
      </c>
      <c r="N23" s="137">
        <f>SUMIFS(Sorties[Coût TTC],Sorties[Spécification], $A23,Sorties[Date], "&gt;="&amp;N$3,Sorties[Date], "&lt;="&amp;EOMONTH(N$3,0))</f>
        <v>0</v>
      </c>
      <c r="O23" s="137">
        <f>SUMIFS(Sorties[Coût TTC],Sorties[Spécification], $A23,Sorties[Date], "&gt;="&amp;O$3,Sorties[Date], "&lt;="&amp;EOMONTH(O$3,0))</f>
        <v>0</v>
      </c>
      <c r="P23" s="138">
        <f t="shared" si="4"/>
        <v>1327.5</v>
      </c>
      <c r="Q23" s="131"/>
      <c r="R23" s="132"/>
      <c r="S23" s="132"/>
      <c r="T23" s="132"/>
      <c r="U23" s="133"/>
    </row>
    <row r="24" ht="19.5" customHeight="1" outlineLevel="2">
      <c r="A24" s="139" t="s">
        <v>113</v>
      </c>
      <c r="D24" s="140">
        <f>SUMIFS(Sorties[Coût TTC],Sorties[Spécification], $A24,Sorties[Date], "&gt;="&amp;D$3,Sorties[Date], "&lt;="&amp;EOMONTH(D$3,0))</f>
        <v>0</v>
      </c>
      <c r="E24" s="140">
        <f>SUMIFS(Sorties[Coût TTC],Sorties[Spécification], $A24,Sorties[Date], "&gt;="&amp;E$3,Sorties[Date], "&lt;="&amp;EOMONTH(E$3,0))</f>
        <v>0</v>
      </c>
      <c r="F24" s="140">
        <f>SUMIFS(Sorties[Coût TTC],Sorties[Spécification], $A24,Sorties[Date], "&gt;="&amp;F$3,Sorties[Date], "&lt;="&amp;EOMONTH(F$3,0))</f>
        <v>0</v>
      </c>
      <c r="G24" s="140">
        <f>SUMIFS(Sorties[Coût TTC],Sorties[Spécification], $A24,Sorties[Date], "&gt;="&amp;G$3,Sorties[Date], "&lt;="&amp;EOMONTH(G$3,0))</f>
        <v>305.85</v>
      </c>
      <c r="H24" s="140">
        <f>SUMIFS(Sorties[Coût TTC],Sorties[Spécification], $A24,Sorties[Date], "&gt;="&amp;H$3,Sorties[Date], "&lt;="&amp;EOMONTH(H$3,0))</f>
        <v>0</v>
      </c>
      <c r="I24" s="140">
        <f>SUMIFS(Sorties[Coût TTC],Sorties[Spécification], $A24,Sorties[Date], "&gt;="&amp;I$3,Sorties[Date], "&lt;="&amp;EOMONTH(I$3,0))</f>
        <v>0</v>
      </c>
      <c r="J24" s="140">
        <f>SUMIFS(Sorties[Coût TTC],Sorties[Spécification], $A24,Sorties[Date], "&gt;="&amp;J$3,Sorties[Date], "&lt;="&amp;EOMONTH(J$3,0))</f>
        <v>0</v>
      </c>
      <c r="K24" s="140">
        <f>SUMIFS(Sorties[Coût TTC],Sorties[Spécification], $A24,Sorties[Date], "&gt;="&amp;K$3,Sorties[Date], "&lt;="&amp;EOMONTH(K$3,0))</f>
        <v>0</v>
      </c>
      <c r="L24" s="140">
        <f>SUMIFS(Sorties[Coût TTC],Sorties[Spécification], $A24,Sorties[Date], "&gt;="&amp;L$3,Sorties[Date], "&lt;="&amp;EOMONTH(L$3,0))</f>
        <v>0</v>
      </c>
      <c r="M24" s="140">
        <f>SUMIFS(Sorties[Coût TTC],Sorties[Spécification], $A24,Sorties[Date], "&gt;="&amp;M$3,Sorties[Date], "&lt;="&amp;EOMONTH(M$3,0))</f>
        <v>0</v>
      </c>
      <c r="N24" s="140">
        <f>SUMIFS(Sorties[Coût TTC],Sorties[Spécification], $A24,Sorties[Date], "&gt;="&amp;N$3,Sorties[Date], "&lt;="&amp;EOMONTH(N$3,0))</f>
        <v>0</v>
      </c>
      <c r="O24" s="140">
        <f>SUMIFS(Sorties[Coût TTC],Sorties[Spécification], $A24,Sorties[Date], "&gt;="&amp;O$3,Sorties[Date], "&lt;="&amp;EOMONTH(O$3,0))</f>
        <v>0</v>
      </c>
      <c r="P24" s="141"/>
      <c r="Q24" s="131"/>
      <c r="R24" s="132"/>
      <c r="S24" s="132"/>
      <c r="T24" s="132"/>
      <c r="U24" s="133"/>
    </row>
    <row r="25" ht="19.5" customHeight="1" outlineLevel="2">
      <c r="A25" s="145" t="s">
        <v>190</v>
      </c>
      <c r="D25" s="146">
        <f t="shared" ref="D25:O25" si="5">SUM(D5:D24)</f>
        <v>3693.82</v>
      </c>
      <c r="E25" s="146">
        <f t="shared" si="5"/>
        <v>1270.44</v>
      </c>
      <c r="F25" s="146">
        <f t="shared" si="5"/>
        <v>1416.39</v>
      </c>
      <c r="G25" s="146">
        <f t="shared" si="5"/>
        <v>1472.04</v>
      </c>
      <c r="H25" s="146">
        <f t="shared" si="5"/>
        <v>468.99</v>
      </c>
      <c r="I25" s="146">
        <f t="shared" si="5"/>
        <v>0</v>
      </c>
      <c r="J25" s="146">
        <f t="shared" si="5"/>
        <v>0</v>
      </c>
      <c r="K25" s="146">
        <f t="shared" si="5"/>
        <v>0</v>
      </c>
      <c r="L25" s="146">
        <f t="shared" si="5"/>
        <v>0</v>
      </c>
      <c r="M25" s="146">
        <f t="shared" si="5"/>
        <v>0</v>
      </c>
      <c r="N25" s="146">
        <f t="shared" si="5"/>
        <v>0</v>
      </c>
      <c r="O25" s="146">
        <f t="shared" si="5"/>
        <v>0</v>
      </c>
      <c r="P25" s="147">
        <f>SUM(P5:P23)</f>
        <v>7549.83</v>
      </c>
      <c r="Q25" s="131"/>
      <c r="R25" s="132"/>
      <c r="S25" s="132"/>
      <c r="T25" s="132"/>
      <c r="U25" s="133"/>
    </row>
    <row r="26" ht="9.0" customHeight="1">
      <c r="A26" s="148"/>
      <c r="D26" s="149"/>
      <c r="Q26" s="131"/>
      <c r="R26" s="132"/>
      <c r="S26" s="132"/>
      <c r="T26" s="132"/>
      <c r="U26" s="133"/>
    </row>
    <row r="27" ht="18.75" customHeight="1">
      <c r="A27" s="150" t="s">
        <v>191</v>
      </c>
      <c r="D27" s="151"/>
      <c r="Q27" s="131"/>
      <c r="R27" s="132"/>
      <c r="S27" s="132"/>
      <c r="T27" s="132"/>
      <c r="U27" s="133"/>
    </row>
    <row r="28" ht="18.75" customHeight="1" outlineLevel="1">
      <c r="A28" s="152" t="s">
        <v>192</v>
      </c>
      <c r="D28" s="153"/>
      <c r="Q28" s="131"/>
      <c r="R28" s="132"/>
      <c r="S28" s="132"/>
      <c r="T28" s="132"/>
      <c r="U28" s="133"/>
    </row>
    <row r="29" ht="18.75" customHeight="1" outlineLevel="1">
      <c r="A29" s="136" t="s">
        <v>54</v>
      </c>
      <c r="D29" s="137">
        <f>SUMIFS('Entrées'!$G:$G, 'Entrées'!$D:$D, $A29, 'Entrées'!$A:$A, "&gt;="&amp;D$3, 'Entrées'!$A:$A, "&lt;="&amp;EOMONTH(D$3,0))</f>
        <v>2197.08</v>
      </c>
      <c r="E29" s="137">
        <f>SUMIFS('Entrées'!$G:$G, 'Entrées'!$D:$D, $A29, 'Entrées'!$A:$A, "&gt;="&amp;E$3, 'Entrées'!$A:$A, "&lt;="&amp;EOMONTH(E$3,0))</f>
        <v>2482.08</v>
      </c>
      <c r="F29" s="137">
        <f>SUMIFS('Entrées'!$G:$G, 'Entrées'!$D:$D, $A29, 'Entrées'!$A:$A, "&gt;="&amp;F$3, 'Entrées'!$A:$A, "&lt;="&amp;EOMONTH(F$3,0))</f>
        <v>1179.84</v>
      </c>
      <c r="G29" s="137">
        <f>SUMIFS('Entrées'!$G:$G, 'Entrées'!$D:$D, $A29, 'Entrées'!$A:$A, "&gt;="&amp;G$3, 'Entrées'!$A:$A, "&lt;="&amp;EOMONTH(G$3,0))</f>
        <v>1000</v>
      </c>
      <c r="H29" s="137">
        <f>SUMIFS('Entrées'!$G:$G, 'Entrées'!$D:$D, $A29, 'Entrées'!$A:$A, "&gt;="&amp;H$3, 'Entrées'!$A:$A, "&lt;="&amp;EOMONTH(H$3,0))</f>
        <v>906.13</v>
      </c>
      <c r="I29" s="137">
        <f>SUMIFS('Entrées'!$G:$G, 'Entrées'!$D:$D, $A29, 'Entrées'!$A:$A, "&gt;="&amp;I$3, 'Entrées'!$A:$A, "&lt;="&amp;EOMONTH(I$3,0))</f>
        <v>0</v>
      </c>
      <c r="J29" s="137">
        <f>SUMIFS('Entrées'!$G:$G, 'Entrées'!$D:$D, $A29, 'Entrées'!$A:$A, "&gt;="&amp;J$3, 'Entrées'!$A:$A, "&lt;="&amp;EOMONTH(J$3,0))</f>
        <v>0</v>
      </c>
      <c r="K29" s="137">
        <f>SUMIFS('Entrées'!$G:$G, 'Entrées'!$D:$D, $A29, 'Entrées'!$A:$A, "&gt;="&amp;K$3, 'Entrées'!$A:$A, "&lt;="&amp;EOMONTH(K$3,0))</f>
        <v>0</v>
      </c>
      <c r="L29" s="137">
        <f>SUMIFS('Entrées'!$G:$G, 'Entrées'!$D:$D, $A29, 'Entrées'!$A:$A, "&gt;="&amp;L$3, 'Entrées'!$A:$A, "&lt;="&amp;EOMONTH(L$3,0))</f>
        <v>0</v>
      </c>
      <c r="M29" s="137">
        <f>SUMIFS('Entrées'!$G:$G, 'Entrées'!$D:$D, $A29, 'Entrées'!$A:$A, "&gt;="&amp;M$3, 'Entrées'!$A:$A, "&lt;="&amp;EOMONTH(M$3,0))</f>
        <v>0</v>
      </c>
      <c r="N29" s="137">
        <f>SUMIFS('Entrées'!$G:$G, 'Entrées'!$D:$D, $A29, 'Entrées'!$A:$A, "&gt;="&amp;N$3, 'Entrées'!$A:$A, "&lt;="&amp;EOMONTH(N$3,0))</f>
        <v>0</v>
      </c>
      <c r="O29" s="137">
        <f>SUMIFS('Entrées'!$G:$G, 'Entrées'!$D:$D, $A29, 'Entrées'!$A:$A, "&gt;="&amp;O$3, 'Entrées'!$A:$A, "&lt;="&amp;EOMONTH(O$3,0))</f>
        <v>0</v>
      </c>
      <c r="P29" s="154">
        <f t="shared" ref="P29:P30" si="6">SUM(B29:O29)</f>
        <v>7765.13</v>
      </c>
      <c r="Q29" s="131"/>
      <c r="R29" s="132"/>
      <c r="S29" s="132"/>
      <c r="T29" s="132"/>
      <c r="U29" s="133"/>
    </row>
    <row r="30" ht="18.75" customHeight="1" outlineLevel="1">
      <c r="A30" s="155" t="s">
        <v>104</v>
      </c>
      <c r="D30" s="156">
        <f>SUMIFS('Entrées'!$G:$G, 'Entrées'!$D:$D, $A30, 'Entrées'!$A:$A, "&gt;="&amp;D$3, 'Entrées'!$A:$A, "&lt;="&amp;EOMONTH(D$3,0))</f>
        <v>0</v>
      </c>
      <c r="E30" s="156">
        <f>SUMIFS('Entrées'!$G:$G, 'Entrées'!$D:$D, $A30, 'Entrées'!$A:$A, "&gt;="&amp;E$3, 'Entrées'!$A:$A, "&lt;="&amp;EOMONTH(E$3,0))</f>
        <v>0</v>
      </c>
      <c r="F30" s="156">
        <f>SUMIFS('Entrées'!$G:$G, 'Entrées'!$D:$D, $A30, 'Entrées'!$A:$A, "&gt;="&amp;F$3, 'Entrées'!$A:$A, "&lt;="&amp;EOMONTH(F$3,0))</f>
        <v>0</v>
      </c>
      <c r="G30" s="156">
        <f>SUMIFS('Entrées'!$G:$G, 'Entrées'!$D:$D, $A30, 'Entrées'!$A:$A, "&gt;="&amp;G$3, 'Entrées'!$A:$A, "&lt;="&amp;EOMONTH(G$3,0))</f>
        <v>0</v>
      </c>
      <c r="H30" s="156">
        <f>SUMIFS('Entrées'!$G:$G, 'Entrées'!$D:$D, $A30, 'Entrées'!$A:$A, "&gt;="&amp;H$3, 'Entrées'!$A:$A, "&lt;="&amp;EOMONTH(H$3,0))</f>
        <v>0</v>
      </c>
      <c r="I30" s="156">
        <f>SUMIFS('Entrées'!$G:$G, 'Entrées'!$D:$D, $A30, 'Entrées'!$A:$A, "&gt;="&amp;I$3, 'Entrées'!$A:$A, "&lt;="&amp;EOMONTH(I$3,0))</f>
        <v>0</v>
      </c>
      <c r="J30" s="156">
        <f>SUMIFS('Entrées'!$G:$G, 'Entrées'!$D:$D, $A30, 'Entrées'!$A:$A, "&gt;="&amp;J$3, 'Entrées'!$A:$A, "&lt;="&amp;EOMONTH(J$3,0))</f>
        <v>0</v>
      </c>
      <c r="K30" s="156">
        <f>SUMIFS('Entrées'!$G:$G, 'Entrées'!$D:$D, $A30, 'Entrées'!$A:$A, "&gt;="&amp;K$3, 'Entrées'!$A:$A, "&lt;="&amp;EOMONTH(K$3,0))</f>
        <v>0</v>
      </c>
      <c r="L30" s="156">
        <f>SUMIFS('Entrées'!$G:$G, 'Entrées'!$D:$D, $A30, 'Entrées'!$A:$A, "&gt;="&amp;L$3, 'Entrées'!$A:$A, "&lt;="&amp;EOMONTH(L$3,0))</f>
        <v>0</v>
      </c>
      <c r="M30" s="156">
        <f>SUMIFS('Entrées'!$G:$G, 'Entrées'!$D:$D, $A30, 'Entrées'!$A:$A, "&gt;="&amp;M$3, 'Entrées'!$A:$A, "&lt;="&amp;EOMONTH(M$3,0))</f>
        <v>0</v>
      </c>
      <c r="N30" s="156">
        <f>SUMIFS('Entrées'!$G:$G, 'Entrées'!$D:$D, $A30, 'Entrées'!$A:$A, "&gt;="&amp;N$3, 'Entrées'!$A:$A, "&lt;="&amp;EOMONTH(N$3,0))</f>
        <v>0</v>
      </c>
      <c r="O30" s="156">
        <f>SUMIFS('Entrées'!$G:$G, 'Entrées'!$D:$D, $A30, 'Entrées'!$A:$A, "&gt;="&amp;O$3, 'Entrées'!$A:$A, "&lt;="&amp;EOMONTH(O$3,0))</f>
        <v>0</v>
      </c>
      <c r="P30" s="157">
        <f t="shared" si="6"/>
        <v>0</v>
      </c>
      <c r="Q30" s="131"/>
      <c r="R30" s="132"/>
      <c r="S30" s="132"/>
      <c r="T30" s="132"/>
      <c r="U30" s="133"/>
    </row>
    <row r="31" ht="18.75" customHeight="1" outlineLevel="1">
      <c r="A31" s="152" t="s">
        <v>193</v>
      </c>
      <c r="D31" s="153"/>
      <c r="Q31" s="131"/>
      <c r="R31" s="132"/>
      <c r="S31" s="132"/>
      <c r="T31" s="132"/>
      <c r="U31" s="133"/>
    </row>
    <row r="32" ht="18.75" customHeight="1" outlineLevel="1">
      <c r="A32" s="136" t="s">
        <v>194</v>
      </c>
      <c r="D32" s="137">
        <f>SUMIFS('Entrées'!$G:$G, 'Entrées'!$D:$D, $A32, 'Entrées'!$A:$A, "&gt;="&amp;D$3, 'Entrées'!$A:$A, "&lt;="&amp;EOMONTH(D$3,0))</f>
        <v>0</v>
      </c>
      <c r="E32" s="137">
        <f>SUMIFS('Entrées'!$G:$G, 'Entrées'!$D:$D, $A32, 'Entrées'!$A:$A, "&gt;="&amp;E$3, 'Entrées'!$A:$A, "&lt;="&amp;EOMONTH(E$3,0))</f>
        <v>0</v>
      </c>
      <c r="F32" s="137">
        <f>SUMIFS('Entrées'!$G:$G, 'Entrées'!$D:$D, $A32, 'Entrées'!$A:$A, "&gt;="&amp;F$3, 'Entrées'!$A:$A, "&lt;="&amp;EOMONTH(F$3,0))</f>
        <v>0</v>
      </c>
      <c r="G32" s="137">
        <f>SUMIFS('Entrées'!$G:$G, 'Entrées'!$D:$D, $A32, 'Entrées'!$A:$A, "&gt;="&amp;G$3, 'Entrées'!$A:$A, "&lt;="&amp;EOMONTH(G$3,0))</f>
        <v>0</v>
      </c>
      <c r="H32" s="137">
        <f>SUMIFS('Entrées'!$G:$G, 'Entrées'!$D:$D, $A32, 'Entrées'!$A:$A, "&gt;="&amp;H$3, 'Entrées'!$A:$A, "&lt;="&amp;EOMONTH(H$3,0))</f>
        <v>0</v>
      </c>
      <c r="I32" s="137">
        <f>SUMIFS('Entrées'!$G:$G, 'Entrées'!$D:$D, $A32, 'Entrées'!$A:$A, "&gt;="&amp;I$3, 'Entrées'!$A:$A, "&lt;="&amp;EOMONTH(I$3,0))</f>
        <v>0</v>
      </c>
      <c r="J32" s="137">
        <f>SUMIFS('Entrées'!$G:$G, 'Entrées'!$D:$D, $A32, 'Entrées'!$A:$A, "&gt;="&amp;J$3, 'Entrées'!$A:$A, "&lt;="&amp;EOMONTH(J$3,0))</f>
        <v>0</v>
      </c>
      <c r="K32" s="137">
        <f>SUMIFS('Entrées'!$G:$G, 'Entrées'!$D:$D, $A32, 'Entrées'!$A:$A, "&gt;="&amp;K$3, 'Entrées'!$A:$A, "&lt;="&amp;EOMONTH(K$3,0))</f>
        <v>0</v>
      </c>
      <c r="L32" s="137">
        <f>SUMIFS('Entrées'!$G:$G, 'Entrées'!$D:$D, $A32, 'Entrées'!$A:$A, "&gt;="&amp;L$3, 'Entrées'!$A:$A, "&lt;="&amp;EOMONTH(L$3,0))</f>
        <v>0</v>
      </c>
      <c r="M32" s="137">
        <f>SUMIFS('Entrées'!$G:$G, 'Entrées'!$D:$D, $A32, 'Entrées'!$A:$A, "&gt;="&amp;M$3, 'Entrées'!$A:$A, "&lt;="&amp;EOMONTH(M$3,0))</f>
        <v>0</v>
      </c>
      <c r="N32" s="137">
        <f>SUMIFS('Entrées'!$G:$G, 'Entrées'!$D:$D, $A32, 'Entrées'!$A:$A, "&gt;="&amp;N$3, 'Entrées'!$A:$A, "&lt;="&amp;EOMONTH(N$3,0))</f>
        <v>0</v>
      </c>
      <c r="O32" s="137">
        <f>SUMIFS('Entrées'!$G:$G, 'Entrées'!$D:$D, $A32, 'Entrées'!$A:$A, "&gt;="&amp;O$3, 'Entrées'!$A:$A, "&lt;="&amp;EOMONTH(O$3,0))</f>
        <v>0</v>
      </c>
      <c r="P32" s="154">
        <f>SUM(B32:O32)</f>
        <v>0</v>
      </c>
      <c r="Q32" s="131"/>
      <c r="R32" s="132"/>
      <c r="S32" s="132"/>
      <c r="T32" s="132"/>
      <c r="U32" s="133"/>
    </row>
    <row r="33" ht="18.75" customHeight="1" outlineLevel="1">
      <c r="A33" s="152" t="s">
        <v>195</v>
      </c>
      <c r="D33" s="158"/>
      <c r="Q33" s="131"/>
      <c r="R33" s="132"/>
      <c r="S33" s="132"/>
      <c r="T33" s="132"/>
      <c r="U33" s="133"/>
    </row>
    <row r="34" ht="18.75" customHeight="1" outlineLevel="1">
      <c r="A34" s="136" t="s">
        <v>67</v>
      </c>
      <c r="D34" s="137">
        <f>SUMIFS('Entrées'!$G:$G, 'Entrées'!$D:$D, $A34, 'Entrées'!$A:$A, "&gt;="&amp;D$3, 'Entrées'!$A:$A, "&lt;="&amp;EOMONTH(D$3,0))</f>
        <v>0</v>
      </c>
      <c r="E34" s="137">
        <f>SUMIFS('Entrées'!$G:$G, 'Entrées'!$D:$D, $A34, 'Entrées'!$A:$A, "&gt;="&amp;E$3, 'Entrées'!$A:$A, "&lt;="&amp;EOMONTH(E$3,0))</f>
        <v>0</v>
      </c>
      <c r="F34" s="137">
        <f>SUMIFS('Entrées'!$G:$G, 'Entrées'!$D:$D, $A34, 'Entrées'!$A:$A, "&gt;="&amp;F$3, 'Entrées'!$A:$A, "&lt;="&amp;EOMONTH(F$3,0))</f>
        <v>0</v>
      </c>
      <c r="G34" s="137">
        <f>SUMIFS('Entrées'!$G:$G, 'Entrées'!$D:$D, $A34, 'Entrées'!$A:$A, "&gt;="&amp;G$3, 'Entrées'!$A:$A, "&lt;="&amp;EOMONTH(G$3,0))</f>
        <v>780.4</v>
      </c>
      <c r="H34" s="137">
        <f>SUMIFS('Entrées'!$G:$G, 'Entrées'!$D:$D, $A34, 'Entrées'!$A:$A, "&gt;="&amp;H$3, 'Entrées'!$A:$A, "&lt;="&amp;EOMONTH(H$3,0))</f>
        <v>0</v>
      </c>
      <c r="I34" s="137">
        <f>SUMIFS('Entrées'!$G:$G, 'Entrées'!$D:$D, $A34, 'Entrées'!$A:$A, "&gt;="&amp;I$3, 'Entrées'!$A:$A, "&lt;="&amp;EOMONTH(I$3,0))</f>
        <v>0</v>
      </c>
      <c r="J34" s="137">
        <f>SUMIFS('Entrées'!$G:$G, 'Entrées'!$D:$D, $A34, 'Entrées'!$A:$A, "&gt;="&amp;J$3, 'Entrées'!$A:$A, "&lt;="&amp;EOMONTH(J$3,0))</f>
        <v>0</v>
      </c>
      <c r="K34" s="137">
        <f>SUMIFS('Entrées'!$G:$G, 'Entrées'!$D:$D, $A34, 'Entrées'!$A:$A, "&gt;="&amp;K$3, 'Entrées'!$A:$A, "&lt;="&amp;EOMONTH(K$3,0))</f>
        <v>0</v>
      </c>
      <c r="L34" s="137">
        <f>SUMIFS('Entrées'!$G:$G, 'Entrées'!$D:$D, $A34, 'Entrées'!$A:$A, "&gt;="&amp;L$3, 'Entrées'!$A:$A, "&lt;="&amp;EOMONTH(L$3,0))</f>
        <v>0</v>
      </c>
      <c r="M34" s="137">
        <f>SUMIFS('Entrées'!$G:$G, 'Entrées'!$D:$D, $A34, 'Entrées'!$A:$A, "&gt;="&amp;M$3, 'Entrées'!$A:$A, "&lt;="&amp;EOMONTH(M$3,0))</f>
        <v>0</v>
      </c>
      <c r="N34" s="137">
        <f>SUMIFS('Entrées'!$G:$G, 'Entrées'!$D:$D, $A34, 'Entrées'!$A:$A, "&gt;="&amp;N$3, 'Entrées'!$A:$A, "&lt;="&amp;EOMONTH(N$3,0))</f>
        <v>0</v>
      </c>
      <c r="O34" s="137">
        <f>SUMIFS('Entrées'!$G:$G, 'Entrées'!$D:$D, $A34, 'Entrées'!$A:$A, "&gt;="&amp;O$3, 'Entrées'!$A:$A, "&lt;="&amp;EOMONTH(O$3,0))</f>
        <v>0</v>
      </c>
      <c r="P34" s="154">
        <f>SUM(B34:O34)</f>
        <v>780.4</v>
      </c>
      <c r="Q34" s="131"/>
      <c r="R34" s="132"/>
      <c r="S34" s="132"/>
      <c r="T34" s="132"/>
      <c r="U34" s="133"/>
    </row>
    <row r="35" ht="18.75" customHeight="1" outlineLevel="1">
      <c r="A35" s="152" t="s">
        <v>196</v>
      </c>
      <c r="D35" s="158"/>
      <c r="Q35" s="131"/>
      <c r="R35" s="132"/>
      <c r="S35" s="132"/>
      <c r="T35" s="132"/>
      <c r="U35" s="133"/>
    </row>
    <row r="36" ht="18.75" customHeight="1" outlineLevel="1">
      <c r="A36" s="136" t="s">
        <v>60</v>
      </c>
      <c r="D36" s="137">
        <f>SUMIFS('Entrées'!$G:$G, 'Entrées'!$D:$D, $A36, 'Entrées'!$A:$A, "&gt;="&amp;D$3, 'Entrées'!$A:$A, "&lt;="&amp;EOMONTH(D$3,0))</f>
        <v>0</v>
      </c>
      <c r="E36" s="137">
        <f>SUMIFS('Entrées'!$G:$G, 'Entrées'!$D:$D, $A36, 'Entrées'!$A:$A, "&gt;="&amp;E$3, 'Entrées'!$A:$A, "&lt;="&amp;EOMONTH(E$3,0))</f>
        <v>47.99</v>
      </c>
      <c r="F36" s="137">
        <f>SUMIFS('Entrées'!$G:$G, 'Entrées'!$D:$D, $A36, 'Entrées'!$A:$A, "&gt;="&amp;F$3, 'Entrées'!$A:$A, "&lt;="&amp;EOMONTH(F$3,0))</f>
        <v>0</v>
      </c>
      <c r="G36" s="137">
        <f>SUMIFS('Entrées'!$G:$G, 'Entrées'!$D:$D, $A36, 'Entrées'!$A:$A, "&gt;="&amp;G$3, 'Entrées'!$A:$A, "&lt;="&amp;EOMONTH(G$3,0))</f>
        <v>0</v>
      </c>
      <c r="H36" s="137">
        <f>SUMIFS('Entrées'!$G:$G, 'Entrées'!$D:$D, $A36, 'Entrées'!$A:$A, "&gt;="&amp;H$3, 'Entrées'!$A:$A, "&lt;="&amp;EOMONTH(H$3,0))</f>
        <v>0</v>
      </c>
      <c r="I36" s="137">
        <f>SUMIFS('Entrées'!$G:$G, 'Entrées'!$D:$D, $A36, 'Entrées'!$A:$A, "&gt;="&amp;I$3, 'Entrées'!$A:$A, "&lt;="&amp;EOMONTH(I$3,0))</f>
        <v>0</v>
      </c>
      <c r="J36" s="137">
        <f>SUMIFS('Entrées'!$G:$G, 'Entrées'!$D:$D, $A36, 'Entrées'!$A:$A, "&gt;="&amp;J$3, 'Entrées'!$A:$A, "&lt;="&amp;EOMONTH(J$3,0))</f>
        <v>0</v>
      </c>
      <c r="K36" s="137">
        <f>SUMIFS('Entrées'!$G:$G, 'Entrées'!$D:$D, $A36, 'Entrées'!$A:$A, "&gt;="&amp;K$3, 'Entrées'!$A:$A, "&lt;="&amp;EOMONTH(K$3,0))</f>
        <v>0</v>
      </c>
      <c r="L36" s="137">
        <f>SUMIFS('Entrées'!$G:$G, 'Entrées'!$D:$D, $A36, 'Entrées'!$A:$A, "&gt;="&amp;L$3, 'Entrées'!$A:$A, "&lt;="&amp;EOMONTH(L$3,0))</f>
        <v>0</v>
      </c>
      <c r="M36" s="137">
        <f>SUMIFS('Entrées'!$G:$G, 'Entrées'!$D:$D, $A36, 'Entrées'!$A:$A, "&gt;="&amp;M$3, 'Entrées'!$A:$A, "&lt;="&amp;EOMONTH(M$3,0))</f>
        <v>0</v>
      </c>
      <c r="N36" s="137">
        <f>SUMIFS('Entrées'!$G:$G, 'Entrées'!$D:$D, $A36, 'Entrées'!$A:$A, "&gt;="&amp;N$3, 'Entrées'!$A:$A, "&lt;="&amp;EOMONTH(N$3,0))</f>
        <v>0</v>
      </c>
      <c r="O36" s="137">
        <f>SUMIFS('Entrées'!$G:$G, 'Entrées'!$D:$D, $A36, 'Entrées'!$A:$A, "&gt;="&amp;O$3, 'Entrées'!$A:$A, "&lt;="&amp;EOMONTH(O$3,0))</f>
        <v>0</v>
      </c>
      <c r="P36" s="154">
        <f>SUM(B36:O36)</f>
        <v>47.99</v>
      </c>
      <c r="Q36" s="131"/>
      <c r="R36" s="132"/>
      <c r="S36" s="132"/>
      <c r="T36" s="132"/>
      <c r="U36" s="133"/>
    </row>
    <row r="37" ht="18.75" customHeight="1" outlineLevel="1">
      <c r="A37" s="150" t="s">
        <v>197</v>
      </c>
      <c r="D37" s="159">
        <f>SUM(D28:D32)</f>
        <v>2197.08</v>
      </c>
      <c r="E37" s="159">
        <f t="shared" ref="E37:O37" si="7">SUM(E28:E36)</f>
        <v>2530.07</v>
      </c>
      <c r="F37" s="159">
        <f t="shared" si="7"/>
        <v>1179.84</v>
      </c>
      <c r="G37" s="159">
        <f t="shared" si="7"/>
        <v>1780.4</v>
      </c>
      <c r="H37" s="159">
        <f t="shared" si="7"/>
        <v>906.13</v>
      </c>
      <c r="I37" s="159">
        <f t="shared" si="7"/>
        <v>0</v>
      </c>
      <c r="J37" s="159">
        <f t="shared" si="7"/>
        <v>0</v>
      </c>
      <c r="K37" s="159">
        <f t="shared" si="7"/>
        <v>0</v>
      </c>
      <c r="L37" s="159">
        <f t="shared" si="7"/>
        <v>0</v>
      </c>
      <c r="M37" s="159">
        <f t="shared" si="7"/>
        <v>0</v>
      </c>
      <c r="N37" s="159">
        <f t="shared" si="7"/>
        <v>0</v>
      </c>
      <c r="O37" s="159">
        <f t="shared" si="7"/>
        <v>0</v>
      </c>
      <c r="P37" s="160">
        <f>SUM(P28:P32)</f>
        <v>7765.13</v>
      </c>
      <c r="Q37" s="131"/>
      <c r="R37" s="132"/>
      <c r="S37" s="132"/>
      <c r="T37" s="132"/>
      <c r="U37" s="133"/>
    </row>
    <row r="38" ht="9.0" customHeight="1">
      <c r="A38" s="148"/>
      <c r="D38" s="161"/>
      <c r="Q38" s="131"/>
      <c r="R38" s="132"/>
      <c r="S38" s="132"/>
      <c r="T38" s="132"/>
      <c r="U38" s="133"/>
    </row>
    <row r="39" ht="18.75" customHeight="1">
      <c r="A39" s="162" t="s">
        <v>24</v>
      </c>
      <c r="D39" s="163">
        <f t="shared" ref="D39:P39" si="8">D37-D25</f>
        <v>-1496.74</v>
      </c>
      <c r="E39" s="163">
        <f t="shared" si="8"/>
        <v>1259.63</v>
      </c>
      <c r="F39" s="163">
        <f t="shared" si="8"/>
        <v>-236.55</v>
      </c>
      <c r="G39" s="163">
        <f t="shared" si="8"/>
        <v>308.36</v>
      </c>
      <c r="H39" s="163">
        <f t="shared" si="8"/>
        <v>437.14</v>
      </c>
      <c r="I39" s="163">
        <f t="shared" si="8"/>
        <v>0</v>
      </c>
      <c r="J39" s="163">
        <f t="shared" si="8"/>
        <v>0</v>
      </c>
      <c r="K39" s="163">
        <f t="shared" si="8"/>
        <v>0</v>
      </c>
      <c r="L39" s="163">
        <f t="shared" si="8"/>
        <v>0</v>
      </c>
      <c r="M39" s="163">
        <f t="shared" si="8"/>
        <v>0</v>
      </c>
      <c r="N39" s="163">
        <f t="shared" si="8"/>
        <v>0</v>
      </c>
      <c r="O39" s="163">
        <f t="shared" si="8"/>
        <v>0</v>
      </c>
      <c r="P39" s="164">
        <f t="shared" si="8"/>
        <v>215.3</v>
      </c>
      <c r="Q39" s="165"/>
      <c r="R39" s="166"/>
      <c r="S39" s="166"/>
      <c r="T39" s="166"/>
      <c r="U39" s="167"/>
    </row>
    <row r="40" ht="26.25" customHeight="1">
      <c r="A40" s="168" t="s">
        <v>25</v>
      </c>
      <c r="D40" s="169">
        <f>$G$2+D39</f>
        <v>177.1</v>
      </c>
      <c r="E40" s="169">
        <f t="shared" ref="E40:O40" si="9">D40+E39</f>
        <v>1436.73</v>
      </c>
      <c r="F40" s="169">
        <f t="shared" si="9"/>
        <v>1200.18</v>
      </c>
      <c r="G40" s="169">
        <f t="shared" si="9"/>
        <v>1508.54</v>
      </c>
      <c r="H40" s="169">
        <f t="shared" si="9"/>
        <v>1945.68</v>
      </c>
      <c r="I40" s="169">
        <f t="shared" si="9"/>
        <v>1945.68</v>
      </c>
      <c r="J40" s="169">
        <f t="shared" si="9"/>
        <v>1945.68</v>
      </c>
      <c r="K40" s="169">
        <f t="shared" si="9"/>
        <v>1945.68</v>
      </c>
      <c r="L40" s="169">
        <f t="shared" si="9"/>
        <v>1945.68</v>
      </c>
      <c r="M40" s="169">
        <f t="shared" si="9"/>
        <v>1945.68</v>
      </c>
      <c r="N40" s="169">
        <f t="shared" si="9"/>
        <v>1945.68</v>
      </c>
      <c r="O40" s="169">
        <f t="shared" si="9"/>
        <v>1945.68</v>
      </c>
      <c r="P40" s="170">
        <f>O40</f>
        <v>1945.68</v>
      </c>
      <c r="Q40" s="165"/>
      <c r="R40" s="166"/>
      <c r="S40" s="166"/>
      <c r="T40" s="166"/>
      <c r="U40" s="167"/>
    </row>
    <row r="41" ht="9.0" customHeight="1">
      <c r="A41" s="148"/>
      <c r="D41" s="161"/>
      <c r="Q41" s="131"/>
      <c r="R41" s="132"/>
      <c r="S41" s="132"/>
      <c r="T41" s="132"/>
      <c r="U41" s="133"/>
    </row>
    <row r="42" ht="18.75" customHeight="1">
      <c r="A42" s="171" t="s">
        <v>198</v>
      </c>
      <c r="D42" s="172"/>
      <c r="Q42" s="131"/>
      <c r="R42" s="132"/>
      <c r="S42" s="132"/>
      <c r="T42" s="132"/>
      <c r="U42" s="133"/>
    </row>
    <row r="43" ht="18.75" customHeight="1" outlineLevel="1">
      <c r="A43" s="173" t="s">
        <v>199</v>
      </c>
      <c r="D43" s="172"/>
      <c r="Q43" s="131"/>
      <c r="R43" s="132"/>
      <c r="S43" s="132"/>
      <c r="T43" s="132"/>
      <c r="U43" s="133"/>
    </row>
    <row r="44" ht="18.75" customHeight="1" outlineLevel="2">
      <c r="A44" s="174" t="s">
        <v>182</v>
      </c>
      <c r="D44" s="175"/>
      <c r="Q44" s="131"/>
      <c r="R44" s="132"/>
      <c r="S44" s="132"/>
      <c r="T44" s="132"/>
      <c r="U44" s="133"/>
    </row>
    <row r="45" ht="18.75" customHeight="1" outlineLevel="2">
      <c r="A45" s="136" t="s">
        <v>72</v>
      </c>
      <c r="D45" s="137">
        <f>SUMIFS(Prévisions[Coût TTC],Prévisions[Spécification],$A45,Prévisions[0], "&gt;="&amp;D$3,Prévisions[0], "&lt;="&amp;EOMONTH(D$3,0),Prévisions[E / S],"Sortie")</f>
        <v>0</v>
      </c>
      <c r="E45" s="137">
        <f>SUMIFS(Prévisions[Coût TTC],Prévisions[Spécification],$A45,Prévisions[0], "&gt;="&amp;E$3,Prévisions[0], "&lt;="&amp;EOMONTH(E$3,0),Prévisions[E / S],"Sortie")</f>
        <v>0</v>
      </c>
      <c r="F45" s="137">
        <f>SUMIFS(Prévisions[Coût TTC],Prévisions[Spécification],$A45,Prévisions[0], "&gt;="&amp;F$3,Prévisions[0], "&lt;="&amp;EOMONTH(F$3,0),Prévisions[E / S],"Sortie")</f>
        <v>0</v>
      </c>
      <c r="G45" s="137">
        <f>SUMIFS(Prévisions[Coût TTC],Prévisions[Spécification],$A45,Prévisions[0], "&gt;="&amp;G$3,Prévisions[0], "&lt;="&amp;EOMONTH(G$3,0),Prévisions[E / S],"Sortie")</f>
        <v>0</v>
      </c>
      <c r="H45" s="137">
        <f>SUMIFS(Prévisions[Coût TTC],Prévisions[Spécification],$A45,Prévisions[0], "&gt;="&amp;H$3,Prévisions[0], "&lt;="&amp;EOMONTH(H$3,0),Prévisions[E / S],"Sortie")</f>
        <v>1620</v>
      </c>
      <c r="I45" s="137">
        <f>SUMIFS(Prévisions[Coût TTC],Prévisions[Spécification],$A45,Prévisions[0], "&gt;="&amp;I$3,Prévisions[0], "&lt;="&amp;EOMONTH(I$3,0),Prévisions[E / S],"Sortie")</f>
        <v>0</v>
      </c>
      <c r="J45" s="137">
        <f>SUMIFS(Prévisions[Coût TTC],Prévisions[Spécification],$A45,Prévisions[0], "&gt;="&amp;J$3,Prévisions[0], "&lt;="&amp;EOMONTH(J$3,0),Prévisions[E / S],"Sortie")</f>
        <v>150</v>
      </c>
      <c r="K45" s="137">
        <f>SUMIFS(Prévisions[Coût TTC],Prévisions[Spécification],$A45,Prévisions[0], "&gt;="&amp;K$3,Prévisions[0], "&lt;="&amp;EOMONTH(K$3,0),Prévisions[E / S],"Sortie")</f>
        <v>2450</v>
      </c>
      <c r="L45" s="137">
        <f>SUMIFS(Prévisions[Coût TTC],Prévisions[Spécification],$A45,Prévisions[0], "&gt;="&amp;L$3,Prévisions[0], "&lt;="&amp;EOMONTH(L$3,0),Prévisions[E / S],"Sortie")</f>
        <v>1600</v>
      </c>
      <c r="M45" s="137">
        <f>SUMIFS(Prévisions[Coût TTC],Prévisions[Spécification],$A45,Prévisions[0], "&gt;="&amp;M$3,Prévisions[0], "&lt;="&amp;EOMONTH(M$3,0),Prévisions[E / S],"Sortie")</f>
        <v>400</v>
      </c>
      <c r="N45" s="137">
        <f>SUMIFS(Prévisions[Coût TTC],Prévisions[Spécification],$A45,Prévisions[0], "&gt;="&amp;N$3,Prévisions[0], "&lt;="&amp;EOMONTH(N$3,0),Prévisions[E / S],"Sortie")</f>
        <v>3550</v>
      </c>
      <c r="O45" s="137">
        <f>SUMIFS(Prévisions[Coût TTC],Prévisions[Spécification],$A45,Prévisions[0], "&gt;="&amp;O$3,Prévisions[0], "&lt;="&amp;EOMONTH(O$3,0),Prévisions[E / S],"Sortie")</f>
        <v>6700</v>
      </c>
      <c r="P45" s="176">
        <f t="shared" ref="P45:P47" si="10">SUM(D45:O45)</f>
        <v>16470</v>
      </c>
      <c r="Q45" s="131"/>
      <c r="R45" s="132"/>
      <c r="S45" s="132"/>
      <c r="T45" s="132"/>
      <c r="U45" s="133"/>
    </row>
    <row r="46" ht="18.75" customHeight="1" outlineLevel="2">
      <c r="A46" s="177" t="s">
        <v>183</v>
      </c>
      <c r="D46" s="178">
        <f>SUMIFS(Prévisions[Coût TTC],Prévisions[Spécification],$A46,Prévisions[0], "&gt;="&amp;D$3,Prévisions[0], "&lt;="&amp;EOMONTH(D$3,0),Prévisions[E / S],"Sortie")</f>
        <v>0</v>
      </c>
      <c r="E46" s="178">
        <f>SUMIFS(Prévisions[Coût TTC],Prévisions[Spécification],$A46,Prévisions[0], "&gt;="&amp;E$3,Prévisions[0], "&lt;="&amp;EOMONTH(E$3,0),Prévisions[E / S],"Sortie")</f>
        <v>0</v>
      </c>
      <c r="F46" s="178">
        <f>SUMIFS(Prévisions[Coût TTC],Prévisions[Spécification],$A46,Prévisions[0], "&gt;="&amp;F$3,Prévisions[0], "&lt;="&amp;EOMONTH(F$3,0),Prévisions[E / S],"Sortie")</f>
        <v>0</v>
      </c>
      <c r="G46" s="178">
        <f>SUMIFS(Prévisions[Coût TTC],Prévisions[Spécification],$A46,Prévisions[0], "&gt;="&amp;G$3,Prévisions[0], "&lt;="&amp;EOMONTH(G$3,0),Prévisions[E / S],"Sortie")</f>
        <v>0</v>
      </c>
      <c r="H46" s="178">
        <f>SUMIFS(Prévisions[Coût TTC],Prévisions[Spécification],$A46,Prévisions[0], "&gt;="&amp;H$3,Prévisions[0], "&lt;="&amp;EOMONTH(H$3,0),Prévisions[E / S],"Sortie")</f>
        <v>0</v>
      </c>
      <c r="I46" s="178">
        <f>SUMIFS(Prévisions[Coût TTC],Prévisions[Spécification],$A46,Prévisions[0], "&gt;="&amp;I$3,Prévisions[0], "&lt;="&amp;EOMONTH(I$3,0),Prévisions[E / S],"Sortie")</f>
        <v>0</v>
      </c>
      <c r="J46" s="178">
        <f>SUMIFS(Prévisions[Coût TTC],Prévisions[Spécification],$A46,Prévisions[0], "&gt;="&amp;J$3,Prévisions[0], "&lt;="&amp;EOMONTH(J$3,0),Prévisions[E / S],"Sortie")</f>
        <v>0</v>
      </c>
      <c r="K46" s="178">
        <f>SUMIFS(Prévisions[Coût TTC],Prévisions[Spécification],$A46,Prévisions[0], "&gt;="&amp;K$3,Prévisions[0], "&lt;="&amp;EOMONTH(K$3,0),Prévisions[E / S],"Sortie")</f>
        <v>0</v>
      </c>
      <c r="L46" s="178">
        <f>SUMIFS(Prévisions[Coût TTC],Prévisions[Spécification],$A46,Prévisions[0], "&gt;="&amp;L$3,Prévisions[0], "&lt;="&amp;EOMONTH(L$3,0),Prévisions[E / S],"Sortie")</f>
        <v>0</v>
      </c>
      <c r="M46" s="178">
        <f>SUMIFS(Prévisions[Coût TTC],Prévisions[Spécification],$A46,Prévisions[0], "&gt;="&amp;M$3,Prévisions[0], "&lt;="&amp;EOMONTH(M$3,0),Prévisions[E / S],"Sortie")</f>
        <v>0</v>
      </c>
      <c r="N46" s="178">
        <f>SUMIFS(Prévisions[Coût TTC],Prévisions[Spécification],$A46,Prévisions[0], "&gt;="&amp;N$3,Prévisions[0], "&lt;="&amp;EOMONTH(N$3,0),Prévisions[E / S],"Sortie")</f>
        <v>0</v>
      </c>
      <c r="O46" s="178">
        <f>SUMIFS(Prévisions[Coût TTC],Prévisions[Spécification],$A46,Prévisions[0], "&gt;="&amp;O$3,Prévisions[0], "&lt;="&amp;EOMONTH(O$3,0),Prévisions[E / S],"Sortie")</f>
        <v>0</v>
      </c>
      <c r="P46" s="179">
        <f t="shared" si="10"/>
        <v>0</v>
      </c>
      <c r="Q46" s="131"/>
      <c r="R46" s="132"/>
      <c r="S46" s="132"/>
      <c r="T46" s="132"/>
      <c r="U46" s="133"/>
    </row>
    <row r="47" ht="18.75" customHeight="1" outlineLevel="2">
      <c r="A47" s="136" t="s">
        <v>54</v>
      </c>
      <c r="D47" s="137">
        <f>SUMIFS(Prévisions[Coût TTC],Prévisions[Spécification],$A47,Prévisions[0], "&gt;="&amp;D$3,Prévisions[0], "&lt;="&amp;EOMONTH(D$3,0),Prévisions[E / S],"Sortie")</f>
        <v>0</v>
      </c>
      <c r="E47" s="137">
        <f>SUMIFS(Prévisions[Coût TTC],Prévisions[Spécification],$A47,Prévisions[0], "&gt;="&amp;E$3,Prévisions[0], "&lt;="&amp;EOMONTH(E$3,0),Prévisions[E / S],"Sortie")</f>
        <v>0</v>
      </c>
      <c r="F47" s="137">
        <f>SUMIFS(Prévisions[Coût TTC],Prévisions[Spécification],$A47,Prévisions[0], "&gt;="&amp;F$3,Prévisions[0], "&lt;="&amp;EOMONTH(F$3,0),Prévisions[E / S],"Sortie")</f>
        <v>0</v>
      </c>
      <c r="G47" s="137">
        <f>SUMIFS(Prévisions[Coût TTC],Prévisions[Spécification],$A47,Prévisions[0], "&gt;="&amp;G$3,Prévisions[0], "&lt;="&amp;EOMONTH(G$3,0),Prévisions[E / S],"Sortie")</f>
        <v>0</v>
      </c>
      <c r="H47" s="137">
        <f>SUMIFS(Prévisions[Coût TTC],Prévisions[Spécification],$A47,Prévisions[0], "&gt;="&amp;H$3,Prévisions[0], "&lt;="&amp;EOMONTH(H$3,0),Prévisions[E / S],"Sortie")</f>
        <v>0</v>
      </c>
      <c r="I47" s="137">
        <f>SUMIFS(Prévisions[Coût TTC],Prévisions[Spécification],$A47,Prévisions[0], "&gt;="&amp;I$3,Prévisions[0], "&lt;="&amp;EOMONTH(I$3,0),Prévisions[E / S],"Sortie")</f>
        <v>2360</v>
      </c>
      <c r="J47" s="137">
        <f>SUMIFS(Prévisions[Coût TTC],Prévisions[Spécification],$A47,Prévisions[0], "&gt;="&amp;J$3,Prévisions[0], "&lt;="&amp;EOMONTH(J$3,0),Prévisions[E / S],"Sortie")</f>
        <v>0</v>
      </c>
      <c r="K47" s="137">
        <f>SUMIFS(Prévisions[Coût TTC],Prévisions[Spécification],$A47,Prévisions[0], "&gt;="&amp;K$3,Prévisions[0], "&lt;="&amp;EOMONTH(K$3,0),Prévisions[E / S],"Sortie")</f>
        <v>0</v>
      </c>
      <c r="L47" s="137">
        <f>SUMIFS(Prévisions[Coût TTC],Prévisions[Spécification],$A47,Prévisions[0], "&gt;="&amp;L$3,Prévisions[0], "&lt;="&amp;EOMONTH(L$3,0),Prévisions[E / S],"Sortie")</f>
        <v>0</v>
      </c>
      <c r="M47" s="137">
        <f>SUMIFS(Prévisions[Coût TTC],Prévisions[Spécification],$A47,Prévisions[0], "&gt;="&amp;M$3,Prévisions[0], "&lt;="&amp;EOMONTH(M$3,0),Prévisions[E / S],"Sortie")</f>
        <v>0</v>
      </c>
      <c r="N47" s="137">
        <f>SUMIFS(Prévisions[Coût TTC],Prévisions[Spécification],$A47,Prévisions[0], "&gt;="&amp;N$3,Prévisions[0], "&lt;="&amp;EOMONTH(N$3,0),Prévisions[E / S],"Sortie")</f>
        <v>0</v>
      </c>
      <c r="O47" s="137">
        <f>SUMIFS(Prévisions[Coût TTC],Prévisions[Spécification],$A47,Prévisions[0], "&gt;="&amp;O$3,Prévisions[0], "&lt;="&amp;EOMONTH(O$3,0),Prévisions[E / S],"Sortie")</f>
        <v>0</v>
      </c>
      <c r="P47" s="176">
        <f t="shared" si="10"/>
        <v>2360</v>
      </c>
      <c r="Q47" s="131"/>
      <c r="R47" s="132"/>
      <c r="S47" s="132"/>
      <c r="T47" s="132"/>
      <c r="U47" s="133"/>
    </row>
    <row r="48" ht="18.75" customHeight="1" outlineLevel="2">
      <c r="A48" s="174" t="s">
        <v>184</v>
      </c>
      <c r="D48" s="175"/>
      <c r="Q48" s="131"/>
      <c r="R48" s="132"/>
      <c r="S48" s="132"/>
      <c r="T48" s="132"/>
      <c r="U48" s="133"/>
    </row>
    <row r="49" ht="18.75" customHeight="1" outlineLevel="2">
      <c r="A49" s="136" t="s">
        <v>185</v>
      </c>
      <c r="D49" s="137">
        <f>SUMIFS(Prévisions[Coût TTC],Prévisions[Spécification],$A49,Prévisions[0], "&gt;="&amp;D$3,Prévisions[0], "&lt;="&amp;EOMONTH(D$3,0),Prévisions[E / S],"Sortie")</f>
        <v>0</v>
      </c>
      <c r="E49" s="137">
        <f>SUMIFS(Prévisions[Coût TTC],Prévisions[Spécification],$A49,Prévisions[0], "&gt;="&amp;E$3,Prévisions[0], "&lt;="&amp;EOMONTH(E$3,0),Prévisions[E / S],"Sortie")</f>
        <v>0</v>
      </c>
      <c r="F49" s="137">
        <f>SUMIFS(Prévisions[Coût TTC],Prévisions[Spécification],$A49,Prévisions[0], "&gt;="&amp;F$3,Prévisions[0], "&lt;="&amp;EOMONTH(F$3,0),Prévisions[E / S],"Sortie")</f>
        <v>0</v>
      </c>
      <c r="G49" s="137">
        <f>SUMIFS(Prévisions[Coût TTC],Prévisions[Spécification],$A49,Prévisions[0], "&gt;="&amp;G$3,Prévisions[0], "&lt;="&amp;EOMONTH(G$3,0),Prévisions[E / S],"Sortie")</f>
        <v>0</v>
      </c>
      <c r="H49" s="137">
        <f>SUMIFS(Prévisions[Coût TTC],Prévisions[Spécification],$A49,Prévisions[0], "&gt;="&amp;H$3,Prévisions[0], "&lt;="&amp;EOMONTH(H$3,0),Prévisions[E / S],"Sortie")</f>
        <v>0</v>
      </c>
      <c r="I49" s="137">
        <f>SUMIFS(Prévisions[Coût TTC],Prévisions[Spécification],$A49,Prévisions[0], "&gt;="&amp;I$3,Prévisions[0], "&lt;="&amp;EOMONTH(I$3,0),Prévisions[E / S],"Sortie")</f>
        <v>0</v>
      </c>
      <c r="J49" s="137">
        <f>SUMIFS(Prévisions[Coût TTC],Prévisions[Spécification],$A49,Prévisions[0], "&gt;="&amp;J$3,Prévisions[0], "&lt;="&amp;EOMONTH(J$3,0),Prévisions[E / S],"Sortie")</f>
        <v>0</v>
      </c>
      <c r="K49" s="137">
        <f>SUMIFS(Prévisions[Coût TTC],Prévisions[Spécification],$A49,Prévisions[0], "&gt;="&amp;K$3,Prévisions[0], "&lt;="&amp;EOMONTH(K$3,0),Prévisions[E / S],"Sortie")</f>
        <v>0</v>
      </c>
      <c r="L49" s="137">
        <f>SUMIFS(Prévisions[Coût TTC],Prévisions[Spécification],$A49,Prévisions[0], "&gt;="&amp;L$3,Prévisions[0], "&lt;="&amp;EOMONTH(L$3,0),Prévisions[E / S],"Sortie")</f>
        <v>0</v>
      </c>
      <c r="M49" s="137">
        <f>SUMIFS(Prévisions[Coût TTC],Prévisions[Spécification],$A49,Prévisions[0], "&gt;="&amp;M$3,Prévisions[0], "&lt;="&amp;EOMONTH(M$3,0),Prévisions[E / S],"Sortie")</f>
        <v>0</v>
      </c>
      <c r="N49" s="137">
        <f>SUMIFS(Prévisions[Coût TTC],Prévisions[Spécification],$A49,Prévisions[0], "&gt;="&amp;N$3,Prévisions[0], "&lt;="&amp;EOMONTH(N$3,0),Prévisions[E / S],"Sortie")</f>
        <v>0</v>
      </c>
      <c r="O49" s="137">
        <f>SUMIFS(Prévisions[Coût TTC],Prévisions[Spécification],$A49,Prévisions[0], "&gt;="&amp;O$3,Prévisions[0], "&lt;="&amp;EOMONTH(O$3,0),Prévisions[E / S],"Sortie")</f>
        <v>0</v>
      </c>
      <c r="P49" s="176">
        <f t="shared" ref="P49:P54" si="11">SUM(D49:O49)</f>
        <v>0</v>
      </c>
      <c r="Q49" s="131"/>
      <c r="R49" s="132"/>
      <c r="S49" s="132"/>
      <c r="T49" s="132"/>
      <c r="U49" s="133"/>
    </row>
    <row r="50" ht="18.75" customHeight="1" outlineLevel="2">
      <c r="A50" s="177" t="s">
        <v>80</v>
      </c>
      <c r="D50" s="178">
        <f>SUMIFS(Prévisions[Coût TTC],Prévisions[Spécification],$A50,Prévisions[0], "&gt;="&amp;D$3,Prévisions[0], "&lt;="&amp;EOMONTH(D$3,0),Prévisions[E / S],"Sortie")</f>
        <v>0</v>
      </c>
      <c r="E50" s="178">
        <f>SUMIFS(Prévisions[Coût TTC],Prévisions[Spécification],$A50,Prévisions[0], "&gt;="&amp;E$3,Prévisions[0], "&lt;="&amp;EOMONTH(E$3,0),Prévisions[E / S],"Sortie")</f>
        <v>0</v>
      </c>
      <c r="F50" s="178">
        <f>SUMIFS(Prévisions[Coût TTC],Prévisions[Spécification],$A50,Prévisions[0], "&gt;="&amp;F$3,Prévisions[0], "&lt;="&amp;EOMONTH(F$3,0),Prévisions[E / S],"Sortie")</f>
        <v>0</v>
      </c>
      <c r="G50" s="178">
        <f>SUMIFS(Prévisions[Coût TTC],Prévisions[Spécification],$A50,Prévisions[0], "&gt;="&amp;G$3,Prévisions[0], "&lt;="&amp;EOMONTH(G$3,0),Prévisions[E / S],"Sortie")</f>
        <v>0</v>
      </c>
      <c r="H50" s="178">
        <f>SUMIFS(Prévisions[Coût TTC],Prévisions[Spécification],$A50,Prévisions[0], "&gt;="&amp;H$3,Prévisions[0], "&lt;="&amp;EOMONTH(H$3,0),Prévisions[E / S],"Sortie")</f>
        <v>2.99</v>
      </c>
      <c r="I50" s="178">
        <f>SUMIFS(Prévisions[Coût TTC],Prévisions[Spécification],$A50,Prévisions[0], "&gt;="&amp;I$3,Prévisions[0], "&lt;="&amp;EOMONTH(I$3,0),Prévisions[E / S],"Sortie")</f>
        <v>2.99</v>
      </c>
      <c r="J50" s="178">
        <f>SUMIFS(Prévisions[Coût TTC],Prévisions[Spécification],$A50,Prévisions[0], "&gt;="&amp;J$3,Prévisions[0], "&lt;="&amp;EOMONTH(J$3,0),Prévisions[E / S],"Sortie")</f>
        <v>2.99</v>
      </c>
      <c r="K50" s="178">
        <f>SUMIFS(Prévisions[Coût TTC],Prévisions[Spécification],$A50,Prévisions[0], "&gt;="&amp;K$3,Prévisions[0], "&lt;="&amp;EOMONTH(K$3,0),Prévisions[E / S],"Sortie")</f>
        <v>2.99</v>
      </c>
      <c r="L50" s="178">
        <f>SUMIFS(Prévisions[Coût TTC],Prévisions[Spécification],$A50,Prévisions[0], "&gt;="&amp;L$3,Prévisions[0], "&lt;="&amp;EOMONTH(L$3,0),Prévisions[E / S],"Sortie")</f>
        <v>2.99</v>
      </c>
      <c r="M50" s="178">
        <f>SUMIFS(Prévisions[Coût TTC],Prévisions[Spécification],$A50,Prévisions[0], "&gt;="&amp;M$3,Prévisions[0], "&lt;="&amp;EOMONTH(M$3,0),Prévisions[E / S],"Sortie")</f>
        <v>2.99</v>
      </c>
      <c r="N50" s="178">
        <f>SUMIFS(Prévisions[Coût TTC],Prévisions[Spécification],$A50,Prévisions[0], "&gt;="&amp;N$3,Prévisions[0], "&lt;="&amp;EOMONTH(N$3,0),Prévisions[E / S],"Sortie")</f>
        <v>2.99</v>
      </c>
      <c r="O50" s="178">
        <f>SUMIFS(Prévisions[Coût TTC],Prévisions[Spécification],$A50,Prévisions[0], "&gt;="&amp;O$3,Prévisions[0], "&lt;="&amp;EOMONTH(O$3,0),Prévisions[E / S],"Sortie")</f>
        <v>2.99</v>
      </c>
      <c r="P50" s="179">
        <f t="shared" si="11"/>
        <v>23.92</v>
      </c>
      <c r="Q50" s="131"/>
      <c r="R50" s="132"/>
      <c r="S50" s="132"/>
      <c r="T50" s="132"/>
      <c r="U50" s="133"/>
    </row>
    <row r="51" ht="18.75" customHeight="1" outlineLevel="2">
      <c r="A51" s="136" t="s">
        <v>186</v>
      </c>
      <c r="D51" s="137">
        <f>SUMIFS(Prévisions[Coût TTC],Prévisions[Spécification],$A51,Prévisions[0], "&gt;="&amp;D$3,Prévisions[0], "&lt;="&amp;EOMONTH(D$3,0),Prévisions[E / S],"Sortie")</f>
        <v>0</v>
      </c>
      <c r="E51" s="137">
        <f>SUMIFS(Prévisions[Coût TTC],Prévisions[Spécification],$A51,Prévisions[0], "&gt;="&amp;E$3,Prévisions[0], "&lt;="&amp;EOMONTH(E$3,0),Prévisions[E / S],"Sortie")</f>
        <v>0</v>
      </c>
      <c r="F51" s="137">
        <f>SUMIFS(Prévisions[Coût TTC],Prévisions[Spécification],$A51,Prévisions[0], "&gt;="&amp;F$3,Prévisions[0], "&lt;="&amp;EOMONTH(F$3,0),Prévisions[E / S],"Sortie")</f>
        <v>0</v>
      </c>
      <c r="G51" s="137">
        <f>SUMIFS(Prévisions[Coût TTC],Prévisions[Spécification],$A51,Prévisions[0], "&gt;="&amp;G$3,Prévisions[0], "&lt;="&amp;EOMONTH(G$3,0),Prévisions[E / S],"Sortie")</f>
        <v>0</v>
      </c>
      <c r="H51" s="137">
        <f>SUMIFS(Prévisions[Coût TTC],Prévisions[Spécification],$A51,Prévisions[0], "&gt;="&amp;H$3,Prévisions[0], "&lt;="&amp;EOMONTH(H$3,0),Prévisions[E / S],"Sortie")</f>
        <v>0</v>
      </c>
      <c r="I51" s="137">
        <f>SUMIFS(Prévisions[Coût TTC],Prévisions[Spécification],$A51,Prévisions[0], "&gt;="&amp;I$3,Prévisions[0], "&lt;="&amp;EOMONTH(I$3,0),Prévisions[E / S],"Sortie")</f>
        <v>0</v>
      </c>
      <c r="J51" s="137">
        <f>SUMIFS(Prévisions[Coût TTC],Prévisions[Spécification],$A51,Prévisions[0], "&gt;="&amp;J$3,Prévisions[0], "&lt;="&amp;EOMONTH(J$3,0),Prévisions[E / S],"Sortie")</f>
        <v>0</v>
      </c>
      <c r="K51" s="137">
        <f>SUMIFS(Prévisions[Coût TTC],Prévisions[Spécification],$A51,Prévisions[0], "&gt;="&amp;K$3,Prévisions[0], "&lt;="&amp;EOMONTH(K$3,0),Prévisions[E / S],"Sortie")</f>
        <v>0</v>
      </c>
      <c r="L51" s="137">
        <f>SUMIFS(Prévisions[Coût TTC],Prévisions[Spécification],$A51,Prévisions[0], "&gt;="&amp;L$3,Prévisions[0], "&lt;="&amp;EOMONTH(L$3,0),Prévisions[E / S],"Sortie")</f>
        <v>0</v>
      </c>
      <c r="M51" s="137">
        <f>SUMIFS(Prévisions[Coût TTC],Prévisions[Spécification],$A51,Prévisions[0], "&gt;="&amp;M$3,Prévisions[0], "&lt;="&amp;EOMONTH(M$3,0),Prévisions[E / S],"Sortie")</f>
        <v>0</v>
      </c>
      <c r="N51" s="137">
        <f>SUMIFS(Prévisions[Coût TTC],Prévisions[Spécification],$A51,Prévisions[0], "&gt;="&amp;N$3,Prévisions[0], "&lt;="&amp;EOMONTH(N$3,0),Prévisions[E / S],"Sortie")</f>
        <v>0</v>
      </c>
      <c r="O51" s="137">
        <f>SUMIFS(Prévisions[Coût TTC],Prévisions[Spécification],$A51,Prévisions[0], "&gt;="&amp;O$3,Prévisions[0], "&lt;="&amp;EOMONTH(O$3,0),Prévisions[E / S],"Sortie")</f>
        <v>0</v>
      </c>
      <c r="P51" s="176">
        <f t="shared" si="11"/>
        <v>0</v>
      </c>
      <c r="Q51" s="131"/>
      <c r="R51" s="132"/>
      <c r="S51" s="132"/>
      <c r="T51" s="132"/>
      <c r="U51" s="133"/>
    </row>
    <row r="52" ht="18.75" customHeight="1" outlineLevel="2">
      <c r="A52" s="177" t="s">
        <v>136</v>
      </c>
      <c r="D52" s="178">
        <f>SUMIFS(Prévisions[Coût TTC],Prévisions[Spécification],$A52,Prévisions[0], "&gt;="&amp;D$3,Prévisions[0], "&lt;="&amp;EOMONTH(D$3,0),Prévisions[E / S],"Sortie")</f>
        <v>0</v>
      </c>
      <c r="E52" s="178">
        <f>SUMIFS(Prévisions[Coût TTC],Prévisions[Spécification],$A52,Prévisions[0], "&gt;="&amp;E$3,Prévisions[0], "&lt;="&amp;EOMONTH(E$3,0),Prévisions[E / S],"Sortie")</f>
        <v>0</v>
      </c>
      <c r="F52" s="178">
        <f>SUMIFS(Prévisions[Coût TTC],Prévisions[Spécification],$A52,Prévisions[0], "&gt;="&amp;F$3,Prévisions[0], "&lt;="&amp;EOMONTH(F$3,0),Prévisions[E / S],"Sortie")</f>
        <v>0</v>
      </c>
      <c r="G52" s="178">
        <f>SUMIFS(Prévisions[Coût TTC],Prévisions[Spécification],$A52,Prévisions[0], "&gt;="&amp;G$3,Prévisions[0], "&lt;="&amp;EOMONTH(G$3,0),Prévisions[E / S],"Sortie")</f>
        <v>0</v>
      </c>
      <c r="H52" s="178">
        <f>SUMIFS(Prévisions[Coût TTC],Prévisions[Spécification],$A52,Prévisions[0], "&gt;="&amp;H$3,Prévisions[0], "&lt;="&amp;EOMONTH(H$3,0),Prévisions[E / S],"Sortie")</f>
        <v>0</v>
      </c>
      <c r="I52" s="178">
        <f>SUMIFS(Prévisions[Coût TTC],Prévisions[Spécification],$A52,Prévisions[0], "&gt;="&amp;I$3,Prévisions[0], "&lt;="&amp;EOMONTH(I$3,0),Prévisions[E / S],"Sortie")</f>
        <v>50</v>
      </c>
      <c r="J52" s="178">
        <f>SUMIFS(Prévisions[Coût TTC],Prévisions[Spécification],$A52,Prévisions[0], "&gt;="&amp;J$3,Prévisions[0], "&lt;="&amp;EOMONTH(J$3,0),Prévisions[E / S],"Sortie")</f>
        <v>90</v>
      </c>
      <c r="K52" s="178">
        <f>SUMIFS(Prévisions[Coût TTC],Prévisions[Spécification],$A52,Prévisions[0], "&gt;="&amp;K$3,Prévisions[0], "&lt;="&amp;EOMONTH(K$3,0),Prévisions[E / S],"Sortie")</f>
        <v>90</v>
      </c>
      <c r="L52" s="178">
        <f>SUMIFS(Prévisions[Coût TTC],Prévisions[Spécification],$A52,Prévisions[0], "&gt;="&amp;L$3,Prévisions[0], "&lt;="&amp;EOMONTH(L$3,0),Prévisions[E / S],"Sortie")</f>
        <v>300</v>
      </c>
      <c r="M52" s="178">
        <f>SUMIFS(Prévisions[Coût TTC],Prévisions[Spécification],$A52,Prévisions[0], "&gt;="&amp;M$3,Prévisions[0], "&lt;="&amp;EOMONTH(M$3,0),Prévisions[E / S],"Sortie")</f>
        <v>300</v>
      </c>
      <c r="N52" s="178">
        <f>SUMIFS(Prévisions[Coût TTC],Prévisions[Spécification],$A52,Prévisions[0], "&gt;="&amp;N$3,Prévisions[0], "&lt;="&amp;EOMONTH(N$3,0),Prévisions[E / S],"Sortie")</f>
        <v>300</v>
      </c>
      <c r="O52" s="178">
        <f>SUMIFS(Prévisions[Coût TTC],Prévisions[Spécification],$A52,Prévisions[0], "&gt;="&amp;O$3,Prévisions[0], "&lt;="&amp;EOMONTH(O$3,0),Prévisions[E / S],"Sortie")</f>
        <v>300</v>
      </c>
      <c r="P52" s="179">
        <f t="shared" si="11"/>
        <v>1430</v>
      </c>
      <c r="Q52" s="131"/>
      <c r="R52" s="132"/>
      <c r="S52" s="132"/>
      <c r="T52" s="132"/>
      <c r="U52" s="133"/>
    </row>
    <row r="53" ht="18.75" customHeight="1" outlineLevel="2">
      <c r="A53" s="136" t="s">
        <v>77</v>
      </c>
      <c r="D53" s="137">
        <f>SUMIFS(Prévisions[Coût TTC],Prévisions[Spécification],$A53,Prévisions[0], "&gt;="&amp;D$3,Prévisions[0], "&lt;="&amp;EOMONTH(D$3,0),Prévisions[E / S],"Sortie")</f>
        <v>0</v>
      </c>
      <c r="E53" s="137">
        <f>SUMIFS(Prévisions[Coût TTC],Prévisions[Spécification],$A53,Prévisions[0], "&gt;="&amp;E$3,Prévisions[0], "&lt;="&amp;EOMONTH(E$3,0),Prévisions[E / S],"Sortie")</f>
        <v>0</v>
      </c>
      <c r="F53" s="137">
        <f>SUMIFS(Prévisions[Coût TTC],Prévisions[Spécification],$A53,Prévisions[0], "&gt;="&amp;F$3,Prévisions[0], "&lt;="&amp;EOMONTH(F$3,0),Prévisions[E / S],"Sortie")</f>
        <v>0</v>
      </c>
      <c r="G53" s="137">
        <f>SUMIFS(Prévisions[Coût TTC],Prévisions[Spécification],$A53,Prévisions[0], "&gt;="&amp;G$3,Prévisions[0], "&lt;="&amp;EOMONTH(G$3,0),Prévisions[E / S],"Sortie")</f>
        <v>0</v>
      </c>
      <c r="H53" s="137">
        <f>SUMIFS(Prévisions[Coût TTC],Prévisions[Spécification],$A53,Prévisions[0], "&gt;="&amp;H$3,Prévisions[0], "&lt;="&amp;EOMONTH(H$3,0),Prévisions[E / S],"Sortie")</f>
        <v>0</v>
      </c>
      <c r="I53" s="137">
        <f>SUMIFS(Prévisions[Coût TTC],Prévisions[Spécification],$A53,Prévisions[0], "&gt;="&amp;I$3,Prévisions[0], "&lt;="&amp;EOMONTH(I$3,0),Prévisions[E / S],"Sortie")</f>
        <v>0</v>
      </c>
      <c r="J53" s="137">
        <f>SUMIFS(Prévisions[Coût TTC],Prévisions[Spécification],$A53,Prévisions[0], "&gt;="&amp;J$3,Prévisions[0], "&lt;="&amp;EOMONTH(J$3,0),Prévisions[E / S],"Sortie")</f>
        <v>0</v>
      </c>
      <c r="K53" s="137">
        <f>SUMIFS(Prévisions[Coût TTC],Prévisions[Spécification],$A53,Prévisions[0], "&gt;="&amp;K$3,Prévisions[0], "&lt;="&amp;EOMONTH(K$3,0),Prévisions[E / S],"Sortie")</f>
        <v>0</v>
      </c>
      <c r="L53" s="137">
        <f>SUMIFS(Prévisions[Coût TTC],Prévisions[Spécification],$A53,Prévisions[0], "&gt;="&amp;L$3,Prévisions[0], "&lt;="&amp;EOMONTH(L$3,0),Prévisions[E / S],"Sortie")</f>
        <v>0</v>
      </c>
      <c r="M53" s="137">
        <f>SUMIFS(Prévisions[Coût TTC],Prévisions[Spécification],$A53,Prévisions[0], "&gt;="&amp;M$3,Prévisions[0], "&lt;="&amp;EOMONTH(M$3,0),Prévisions[E / S],"Sortie")</f>
        <v>0</v>
      </c>
      <c r="N53" s="137">
        <f>SUMIFS(Prévisions[Coût TTC],Prévisions[Spécification],$A53,Prévisions[0], "&gt;="&amp;N$3,Prévisions[0], "&lt;="&amp;EOMONTH(N$3,0),Prévisions[E / S],"Sortie")</f>
        <v>0</v>
      </c>
      <c r="O53" s="137">
        <f>SUMIFS(Prévisions[Coût TTC],Prévisions[Spécification],$A53,Prévisions[0], "&gt;="&amp;O$3,Prévisions[0], "&lt;="&amp;EOMONTH(O$3,0),Prévisions[E / S],"Sortie")</f>
        <v>0</v>
      </c>
      <c r="P53" s="176">
        <f t="shared" si="11"/>
        <v>0</v>
      </c>
      <c r="Q53" s="131"/>
      <c r="R53" s="132"/>
      <c r="S53" s="132"/>
      <c r="T53" s="132"/>
      <c r="U53" s="133"/>
    </row>
    <row r="54" ht="18.75" customHeight="1" outlineLevel="2">
      <c r="A54" s="180" t="s">
        <v>85</v>
      </c>
      <c r="D54" s="178">
        <f>SUMIFS(Prévisions[Coût TTC],Prévisions[Spécification],$A54,Prévisions[0], "&gt;="&amp;D$3,Prévisions[0], "&lt;="&amp;EOMONTH(D$3,0),Prévisions[E / S],"Sortie")</f>
        <v>0</v>
      </c>
      <c r="E54" s="178">
        <f>SUMIFS(Prévisions[Coût TTC],Prévisions[Spécification],$A54,Prévisions[0], "&gt;="&amp;E$3,Prévisions[0], "&lt;="&amp;EOMONTH(E$3,0),Prévisions[E / S],"Sortie")</f>
        <v>0</v>
      </c>
      <c r="F54" s="178">
        <f>SUMIFS(Prévisions[Coût TTC],Prévisions[Spécification],$A54,Prévisions[0], "&gt;="&amp;F$3,Prévisions[0], "&lt;="&amp;EOMONTH(F$3,0),Prévisions[E / S],"Sortie")</f>
        <v>0</v>
      </c>
      <c r="G54" s="178">
        <f>SUMIFS(Prévisions[Coût TTC],Prévisions[Spécification],$A54,Prévisions[0], "&gt;="&amp;G$3,Prévisions[0], "&lt;="&amp;EOMONTH(G$3,0),Prévisions[E / S],"Sortie")</f>
        <v>0</v>
      </c>
      <c r="H54" s="178">
        <f>SUMIFS(Prévisions[Coût TTC],Prévisions[Spécification],$A54,Prévisions[0], "&gt;="&amp;H$3,Prévisions[0], "&lt;="&amp;EOMONTH(H$3,0),Prévisions[E / S],"Sortie")</f>
        <v>0</v>
      </c>
      <c r="I54" s="178">
        <f>SUMIFS(Prévisions[Coût TTC],Prévisions[Spécification],$A54,Prévisions[0], "&gt;="&amp;I$3,Prévisions[0], "&lt;="&amp;EOMONTH(I$3,0),Prévisions[E / S],"Sortie")</f>
        <v>0</v>
      </c>
      <c r="J54" s="178">
        <f>SUMIFS(Prévisions[Coût TTC],Prévisions[Spécification],$A54,Prévisions[0], "&gt;="&amp;J$3,Prévisions[0], "&lt;="&amp;EOMONTH(J$3,0),Prévisions[E / S],"Sortie")</f>
        <v>0</v>
      </c>
      <c r="K54" s="178">
        <f>SUMIFS(Prévisions[Coût TTC],Prévisions[Spécification],$A54,Prévisions[0], "&gt;="&amp;K$3,Prévisions[0], "&lt;="&amp;EOMONTH(K$3,0),Prévisions[E / S],"Sortie")</f>
        <v>0</v>
      </c>
      <c r="L54" s="178">
        <f>SUMIFS(Prévisions[Coût TTC],Prévisions[Spécification],$A54,Prévisions[0], "&gt;="&amp;L$3,Prévisions[0], "&lt;="&amp;EOMONTH(L$3,0),Prévisions[E / S],"Sortie")</f>
        <v>0</v>
      </c>
      <c r="M54" s="178">
        <f>SUMIFS(Prévisions[Coût TTC],Prévisions[Spécification],$A54,Prévisions[0], "&gt;="&amp;M$3,Prévisions[0], "&lt;="&amp;EOMONTH(M$3,0),Prévisions[E / S],"Sortie")</f>
        <v>0</v>
      </c>
      <c r="N54" s="178">
        <f>SUMIFS(Prévisions[Coût TTC],Prévisions[Spécification],$A54,Prévisions[0], "&gt;="&amp;N$3,Prévisions[0], "&lt;="&amp;EOMONTH(N$3,0),Prévisions[E / S],"Sortie")</f>
        <v>0</v>
      </c>
      <c r="O54" s="178">
        <f>SUMIFS(Prévisions[Coût TTC],Prévisions[Spécification],$A54,Prévisions[0], "&gt;="&amp;O$3,Prévisions[0], "&lt;="&amp;EOMONTH(O$3,0),Prévisions[E / S],"Sortie")</f>
        <v>0</v>
      </c>
      <c r="P54" s="179">
        <f t="shared" si="11"/>
        <v>0</v>
      </c>
      <c r="Q54" s="131"/>
      <c r="R54" s="132"/>
      <c r="S54" s="132"/>
      <c r="T54" s="132"/>
      <c r="U54" s="133"/>
    </row>
    <row r="55" ht="18.75" customHeight="1" outlineLevel="2">
      <c r="A55" s="174" t="s">
        <v>187</v>
      </c>
      <c r="D55" s="175"/>
      <c r="Q55" s="131"/>
      <c r="R55" s="132"/>
      <c r="S55" s="132"/>
      <c r="T55" s="132"/>
      <c r="U55" s="133"/>
    </row>
    <row r="56" ht="18.75" customHeight="1" outlineLevel="2">
      <c r="A56" s="136" t="s">
        <v>104</v>
      </c>
      <c r="D56" s="137">
        <f>SUMIFS(Prévisions[Coût TTC],Prévisions[Spécification],$A56,Prévisions[0], "&gt;="&amp;D$3,Prévisions[0], "&lt;="&amp;EOMONTH(D$3,0),Prévisions[E / S],"Sortie")</f>
        <v>0</v>
      </c>
      <c r="E56" s="137">
        <f>SUMIFS(Prévisions[Coût TTC],Prévisions[Spécification],$A56,Prévisions[0], "&gt;="&amp;E$3,Prévisions[0], "&lt;="&amp;EOMONTH(E$3,0),Prévisions[E / S],"Sortie")</f>
        <v>0</v>
      </c>
      <c r="F56" s="137">
        <f>SUMIFS(Prévisions[Coût TTC],Prévisions[Spécification],$A56,Prévisions[0], "&gt;="&amp;F$3,Prévisions[0], "&lt;="&amp;EOMONTH(F$3,0),Prévisions[E / S],"Sortie")</f>
        <v>0</v>
      </c>
      <c r="G56" s="137">
        <f>SUMIFS(Prévisions[Coût TTC],Prévisions[Spécification],$A56,Prévisions[0], "&gt;="&amp;G$3,Prévisions[0], "&lt;="&amp;EOMONTH(G$3,0),Prévisions[E / S],"Sortie")</f>
        <v>0</v>
      </c>
      <c r="H56" s="137">
        <f>SUMIFS(Prévisions[Coût TTC],Prévisions[Spécification],$A56,Prévisions[0], "&gt;="&amp;H$3,Prévisions[0], "&lt;="&amp;EOMONTH(H$3,0),Prévisions[E / S],"Sortie")</f>
        <v>0</v>
      </c>
      <c r="I56" s="137">
        <f>SUMIFS(Prévisions[Coût TTC],Prévisions[Spécification],$A56,Prévisions[0], "&gt;="&amp;I$3,Prévisions[0], "&lt;="&amp;EOMONTH(I$3,0),Prévisions[E / S],"Sortie")</f>
        <v>0</v>
      </c>
      <c r="J56" s="137">
        <f>SUMIFS(Prévisions[Coût TTC],Prévisions[Spécification],$A56,Prévisions[0], "&gt;="&amp;J$3,Prévisions[0], "&lt;="&amp;EOMONTH(J$3,0),Prévisions[E / S],"Sortie")</f>
        <v>0</v>
      </c>
      <c r="K56" s="137">
        <f>SUMIFS(Prévisions[Coût TTC],Prévisions[Spécification],$A56,Prévisions[0], "&gt;="&amp;K$3,Prévisions[0], "&lt;="&amp;EOMONTH(K$3,0),Prévisions[E / S],"Sortie")</f>
        <v>0</v>
      </c>
      <c r="L56" s="137">
        <f>SUMIFS(Prévisions[Coût TTC],Prévisions[Spécification],$A56,Prévisions[0], "&gt;="&amp;L$3,Prévisions[0], "&lt;="&amp;EOMONTH(L$3,0),Prévisions[E / S],"Sortie")</f>
        <v>0</v>
      </c>
      <c r="M56" s="137">
        <f>SUMIFS(Prévisions[Coût TTC],Prévisions[Spécification],$A56,Prévisions[0], "&gt;="&amp;M$3,Prévisions[0], "&lt;="&amp;EOMONTH(M$3,0),Prévisions[E / S],"Sortie")</f>
        <v>0</v>
      </c>
      <c r="N56" s="137">
        <f>SUMIFS(Prévisions[Coût TTC],Prévisions[Spécification],$A56,Prévisions[0], "&gt;="&amp;N$3,Prévisions[0], "&lt;="&amp;EOMONTH(N$3,0),Prévisions[E / S],"Sortie")</f>
        <v>0</v>
      </c>
      <c r="O56" s="137">
        <f>SUMIFS(Prévisions[Coût TTC],Prévisions[Spécification],$A56,Prévisions[0], "&gt;="&amp;O$3,Prévisions[0], "&lt;="&amp;EOMONTH(O$3,0),Prévisions[E / S],"Sortie")</f>
        <v>0</v>
      </c>
      <c r="P56" s="176">
        <f t="shared" ref="P56:P57" si="12">SUM(D56:O56)</f>
        <v>0</v>
      </c>
      <c r="Q56" s="131"/>
      <c r="R56" s="132"/>
      <c r="S56" s="132"/>
      <c r="T56" s="132"/>
      <c r="U56" s="133"/>
    </row>
    <row r="57" ht="18.75" customHeight="1" outlineLevel="2">
      <c r="A57" s="177" t="s">
        <v>91</v>
      </c>
      <c r="D57" s="178">
        <f>SUMIFS(Prévisions[Coût TTC],Prévisions[Spécification],$A57,Prévisions[0], "&gt;="&amp;D$3,Prévisions[0], "&lt;="&amp;EOMONTH(D$3,0),Prévisions[E / S],"Sortie")</f>
        <v>0</v>
      </c>
      <c r="E57" s="178">
        <f>SUMIFS(Prévisions[Coût TTC],Prévisions[Spécification],$A57,Prévisions[0], "&gt;="&amp;E$3,Prévisions[0], "&lt;="&amp;EOMONTH(E$3,0),Prévisions[E / S],"Sortie")</f>
        <v>0</v>
      </c>
      <c r="F57" s="178">
        <f>SUMIFS(Prévisions[Coût TTC],Prévisions[Spécification],$A57,Prévisions[0], "&gt;="&amp;F$3,Prévisions[0], "&lt;="&amp;EOMONTH(F$3,0),Prévisions[E / S],"Sortie")</f>
        <v>0</v>
      </c>
      <c r="G57" s="178">
        <f>SUMIFS(Prévisions[Coût TTC],Prévisions[Spécification],$A57,Prévisions[0], "&gt;="&amp;G$3,Prévisions[0], "&lt;="&amp;EOMONTH(G$3,0),Prévisions[E / S],"Sortie")</f>
        <v>0</v>
      </c>
      <c r="H57" s="178">
        <f>SUMIFS(Prévisions[Coût TTC],Prévisions[Spécification],$A57,Prévisions[0], "&gt;="&amp;H$3,Prévisions[0], "&lt;="&amp;EOMONTH(H$3,0),Prévisions[E / S],"Sortie")</f>
        <v>0</v>
      </c>
      <c r="I57" s="178">
        <f>SUMIFS(Prévisions[Coût TTC],Prévisions[Spécification],$A57,Prévisions[0], "&gt;="&amp;I$3,Prévisions[0], "&lt;="&amp;EOMONTH(I$3,0),Prévisions[E / S],"Sortie")</f>
        <v>0</v>
      </c>
      <c r="J57" s="178">
        <f>SUMIFS(Prévisions[Coût TTC],Prévisions[Spécification],$A57,Prévisions[0], "&gt;="&amp;J$3,Prévisions[0], "&lt;="&amp;EOMONTH(J$3,0),Prévisions[E / S],"Sortie")</f>
        <v>0</v>
      </c>
      <c r="K57" s="178">
        <f>SUMIFS(Prévisions[Coût TTC],Prévisions[Spécification],$A57,Prévisions[0], "&gt;="&amp;K$3,Prévisions[0], "&lt;="&amp;EOMONTH(K$3,0),Prévisions[E / S],"Sortie")</f>
        <v>0</v>
      </c>
      <c r="L57" s="178">
        <f>SUMIFS(Prévisions[Coût TTC],Prévisions[Spécification],$A57,Prévisions[0], "&gt;="&amp;L$3,Prévisions[0], "&lt;="&amp;EOMONTH(L$3,0),Prévisions[E / S],"Sortie")</f>
        <v>0</v>
      </c>
      <c r="M57" s="178">
        <f>SUMIFS(Prévisions[Coût TTC],Prévisions[Spécification],$A57,Prévisions[0], "&gt;="&amp;M$3,Prévisions[0], "&lt;="&amp;EOMONTH(M$3,0),Prévisions[E / S],"Sortie")</f>
        <v>0</v>
      </c>
      <c r="N57" s="178">
        <f>SUMIFS(Prévisions[Coût TTC],Prévisions[Spécification],$A57,Prévisions[0], "&gt;="&amp;N$3,Prévisions[0], "&lt;="&amp;EOMONTH(N$3,0),Prévisions[E / S],"Sortie")</f>
        <v>0</v>
      </c>
      <c r="O57" s="178">
        <f>SUMIFS(Prévisions[Coût TTC],Prévisions[Spécification],$A57,Prévisions[0], "&gt;="&amp;O$3,Prévisions[0], "&lt;="&amp;EOMONTH(O$3,0),Prévisions[E / S],"Sortie")</f>
        <v>0</v>
      </c>
      <c r="P57" s="179">
        <f t="shared" si="12"/>
        <v>0</v>
      </c>
      <c r="Q57" s="131"/>
      <c r="R57" s="132"/>
      <c r="S57" s="132"/>
      <c r="T57" s="132"/>
      <c r="U57" s="133"/>
    </row>
    <row r="58" ht="18.75" customHeight="1" outlineLevel="2">
      <c r="A58" s="174" t="s">
        <v>188</v>
      </c>
      <c r="D58" s="175"/>
      <c r="Q58" s="131"/>
      <c r="R58" s="132"/>
      <c r="S58" s="132"/>
      <c r="T58" s="132"/>
      <c r="U58" s="133"/>
    </row>
    <row r="59" ht="18.75" customHeight="1" outlineLevel="2">
      <c r="A59" s="136" t="s">
        <v>117</v>
      </c>
      <c r="D59" s="137">
        <f>SUMIFS(Prévisions[Coût TTC],Prévisions[Spécification],$A59,Prévisions[0], "&gt;="&amp;D$3,Prévisions[0], "&lt;="&amp;EOMONTH(D$3,0),Prévisions[E / S],"Sortie")</f>
        <v>0</v>
      </c>
      <c r="E59" s="137">
        <f>SUMIFS(Prévisions[Coût TTC],Prévisions[Spécification],$A59,Prévisions[0], "&gt;="&amp;E$3,Prévisions[0], "&lt;="&amp;EOMONTH(E$3,0),Prévisions[E / S],"Sortie")</f>
        <v>0</v>
      </c>
      <c r="F59" s="137">
        <f>SUMIFS(Prévisions[Coût TTC],Prévisions[Spécification],$A59,Prévisions[0], "&gt;="&amp;F$3,Prévisions[0], "&lt;="&amp;EOMONTH(F$3,0),Prévisions[E / S],"Sortie")</f>
        <v>0</v>
      </c>
      <c r="G59" s="137">
        <f>SUMIFS(Prévisions[Coût TTC],Prévisions[Spécification],$A59,Prévisions[0], "&gt;="&amp;G$3,Prévisions[0], "&lt;="&amp;EOMONTH(G$3,0),Prévisions[E / S],"Sortie")</f>
        <v>0</v>
      </c>
      <c r="H59" s="137">
        <f>SUMIFS(Prévisions[Coût TTC],Prévisions[Spécification],$A59,Prévisions[0], "&gt;="&amp;H$3,Prévisions[0], "&lt;="&amp;EOMONTH(H$3,0),Prévisions[E / S],"Sortie")</f>
        <v>75</v>
      </c>
      <c r="I59" s="137">
        <f>SUMIFS(Prévisions[Coût TTC],Prévisions[Spécification],$A59,Prévisions[0], "&gt;="&amp;I$3,Prévisions[0], "&lt;="&amp;EOMONTH(I$3,0),Prévisions[E / S],"Sortie")</f>
        <v>0</v>
      </c>
      <c r="J59" s="137">
        <f>SUMIFS(Prévisions[Coût TTC],Prévisions[Spécification],$A59,Prévisions[0], "&gt;="&amp;J$3,Prévisions[0], "&lt;="&amp;EOMONTH(J$3,0),Prévisions[E / S],"Sortie")</f>
        <v>0</v>
      </c>
      <c r="K59" s="137">
        <f>SUMIFS(Prévisions[Coût TTC],Prévisions[Spécification],$A59,Prévisions[0], "&gt;="&amp;K$3,Prévisions[0], "&lt;="&amp;EOMONTH(K$3,0),Prévisions[E / S],"Sortie")</f>
        <v>0</v>
      </c>
      <c r="L59" s="137">
        <f>SUMIFS(Prévisions[Coût TTC],Prévisions[Spécification],$A59,Prévisions[0], "&gt;="&amp;L$3,Prévisions[0], "&lt;="&amp;EOMONTH(L$3,0),Prévisions[E / S],"Sortie")</f>
        <v>0</v>
      </c>
      <c r="M59" s="137">
        <f>SUMIFS(Prévisions[Coût TTC],Prévisions[Spécification],$A59,Prévisions[0], "&gt;="&amp;M$3,Prévisions[0], "&lt;="&amp;EOMONTH(M$3,0),Prévisions[E / S],"Sortie")</f>
        <v>0</v>
      </c>
      <c r="N59" s="137">
        <f>SUMIFS(Prévisions[Coût TTC],Prévisions[Spécification],$A59,Prévisions[0], "&gt;="&amp;N$3,Prévisions[0], "&lt;="&amp;EOMONTH(N$3,0),Prévisions[E / S],"Sortie")</f>
        <v>0</v>
      </c>
      <c r="O59" s="137">
        <f>SUMIFS(Prévisions[Coût TTC],Prévisions[Spécification],$A59,Prévisions[0], "&gt;="&amp;O$3,Prévisions[0], "&lt;="&amp;EOMONTH(O$3,0),Prévisions[E / S],"Sortie")</f>
        <v>0</v>
      </c>
      <c r="P59" s="176">
        <f t="shared" ref="P59:P61" si="13">SUM(D59:O59)</f>
        <v>75</v>
      </c>
      <c r="Q59" s="131"/>
      <c r="R59" s="132"/>
      <c r="S59" s="132"/>
      <c r="T59" s="132"/>
      <c r="U59" s="133"/>
    </row>
    <row r="60" ht="18.75" customHeight="1" outlineLevel="2">
      <c r="A60" s="177" t="s">
        <v>189</v>
      </c>
      <c r="D60" s="178">
        <f>SUMIFS(Prévisions[Coût TTC],Prévisions[Spécification],$A60,Prévisions[0], "&gt;="&amp;D$3,Prévisions[0], "&lt;="&amp;EOMONTH(D$3,0),Prévisions[E / S],"Sortie")</f>
        <v>0</v>
      </c>
      <c r="E60" s="178">
        <f>SUMIFS(Prévisions[Coût TTC],Prévisions[Spécification],$A60,Prévisions[0], "&gt;="&amp;E$3,Prévisions[0], "&lt;="&amp;EOMONTH(E$3,0),Prévisions[E / S],"Sortie")</f>
        <v>0</v>
      </c>
      <c r="F60" s="178">
        <f>SUMIFS(Prévisions[Coût TTC],Prévisions[Spécification],$A60,Prévisions[0], "&gt;="&amp;F$3,Prévisions[0], "&lt;="&amp;EOMONTH(F$3,0),Prévisions[E / S],"Sortie")</f>
        <v>0</v>
      </c>
      <c r="G60" s="178">
        <f>SUMIFS(Prévisions[Coût TTC],Prévisions[Spécification],$A60,Prévisions[0], "&gt;="&amp;G$3,Prévisions[0], "&lt;="&amp;EOMONTH(G$3,0),Prévisions[E / S],"Sortie")</f>
        <v>0</v>
      </c>
      <c r="H60" s="178">
        <f>SUMIFS(Prévisions[Coût TTC],Prévisions[Spécification],$A60,Prévisions[0], "&gt;="&amp;H$3,Prévisions[0], "&lt;="&amp;EOMONTH(H$3,0),Prévisions[E / S],"Sortie")</f>
        <v>0</v>
      </c>
      <c r="I60" s="178">
        <f>SUMIFS(Prévisions[Coût TTC],Prévisions[Spécification],$A60,Prévisions[0], "&gt;="&amp;I$3,Prévisions[0], "&lt;="&amp;EOMONTH(I$3,0),Prévisions[E / S],"Sortie")</f>
        <v>0</v>
      </c>
      <c r="J60" s="178">
        <f>SUMIFS(Prévisions[Coût TTC],Prévisions[Spécification],$A60,Prévisions[0], "&gt;="&amp;J$3,Prévisions[0], "&lt;="&amp;EOMONTH(J$3,0),Prévisions[E / S],"Sortie")</f>
        <v>0</v>
      </c>
      <c r="K60" s="178">
        <f>SUMIFS(Prévisions[Coût TTC],Prévisions[Spécification],$A60,Prévisions[0], "&gt;="&amp;K$3,Prévisions[0], "&lt;="&amp;EOMONTH(K$3,0),Prévisions[E / S],"Sortie")</f>
        <v>0</v>
      </c>
      <c r="L60" s="178">
        <f>SUMIFS(Prévisions[Coût TTC],Prévisions[Spécification],$A60,Prévisions[0], "&gt;="&amp;L$3,Prévisions[0], "&lt;="&amp;EOMONTH(L$3,0),Prévisions[E / S],"Sortie")</f>
        <v>0</v>
      </c>
      <c r="M60" s="178">
        <f>SUMIFS(Prévisions[Coût TTC],Prévisions[Spécification],$A60,Prévisions[0], "&gt;="&amp;M$3,Prévisions[0], "&lt;="&amp;EOMONTH(M$3,0),Prévisions[E / S],"Sortie")</f>
        <v>0</v>
      </c>
      <c r="N60" s="178">
        <f>SUMIFS(Prévisions[Coût TTC],Prévisions[Spécification],$A60,Prévisions[0], "&gt;="&amp;N$3,Prévisions[0], "&lt;="&amp;EOMONTH(N$3,0),Prévisions[E / S],"Sortie")</f>
        <v>0</v>
      </c>
      <c r="O60" s="178">
        <f>SUMIFS(Prévisions[Coût TTC],Prévisions[Spécification],$A60,Prévisions[0], "&gt;="&amp;O$3,Prévisions[0], "&lt;="&amp;EOMONTH(O$3,0),Prévisions[E / S],"Sortie")</f>
        <v>0</v>
      </c>
      <c r="P60" s="179">
        <f t="shared" si="13"/>
        <v>0</v>
      </c>
      <c r="Q60" s="131"/>
      <c r="R60" s="132"/>
      <c r="S60" s="132"/>
      <c r="T60" s="132"/>
      <c r="U60" s="133"/>
    </row>
    <row r="61" ht="18.75" customHeight="1" outlineLevel="2">
      <c r="A61" s="136" t="s">
        <v>109</v>
      </c>
      <c r="D61" s="137">
        <f>SUMIFS(Prévisions[Coût TTC],Prévisions[Spécification],$A61,Prévisions[0], "&gt;="&amp;D$3,Prévisions[0], "&lt;="&amp;EOMONTH(D$3,0),Prévisions[E / S],"Sortie")</f>
        <v>0</v>
      </c>
      <c r="E61" s="137">
        <f>SUMIFS(Prévisions[Coût TTC],Prévisions[Spécification],$A61,Prévisions[0], "&gt;="&amp;E$3,Prévisions[0], "&lt;="&amp;EOMONTH(E$3,0),Prévisions[E / S],"Sortie")</f>
        <v>0</v>
      </c>
      <c r="F61" s="137">
        <f>SUMIFS(Prévisions[Coût TTC],Prévisions[Spécification],$A61,Prévisions[0], "&gt;="&amp;F$3,Prévisions[0], "&lt;="&amp;EOMONTH(F$3,0),Prévisions[E / S],"Sortie")</f>
        <v>0</v>
      </c>
      <c r="G61" s="137">
        <f>SUMIFS(Prévisions[Coût TTC],Prévisions[Spécification],$A61,Prévisions[0], "&gt;="&amp;G$3,Prévisions[0], "&lt;="&amp;EOMONTH(G$3,0),Prévisions[E / S],"Sortie")</f>
        <v>0</v>
      </c>
      <c r="H61" s="137">
        <f>SUMIFS(Prévisions[Coût TTC],Prévisions[Spécification],$A61,Prévisions[0], "&gt;="&amp;H$3,Prévisions[0], "&lt;="&amp;EOMONTH(H$3,0),Prévisions[E / S],"Sortie")</f>
        <v>0</v>
      </c>
      <c r="I61" s="137">
        <f>SUMIFS(Prévisions[Coût TTC],Prévisions[Spécification],$A61,Prévisions[0], "&gt;="&amp;I$3,Prévisions[0], "&lt;="&amp;EOMONTH(I$3,0),Prévisions[E / S],"Sortie")</f>
        <v>0</v>
      </c>
      <c r="J61" s="137">
        <f>SUMIFS(Prévisions[Coût TTC],Prévisions[Spécification],$A61,Prévisions[0], "&gt;="&amp;J$3,Prévisions[0], "&lt;="&amp;EOMONTH(J$3,0),Prévisions[E / S],"Sortie")</f>
        <v>0</v>
      </c>
      <c r="K61" s="137">
        <f>SUMIFS(Prévisions[Coût TTC],Prévisions[Spécification],$A61,Prévisions[0], "&gt;="&amp;K$3,Prévisions[0], "&lt;="&amp;EOMONTH(K$3,0),Prévisions[E / S],"Sortie")</f>
        <v>0</v>
      </c>
      <c r="L61" s="137">
        <f>SUMIFS(Prévisions[Coût TTC],Prévisions[Spécification],$A61,Prévisions[0], "&gt;="&amp;L$3,Prévisions[0], "&lt;="&amp;EOMONTH(L$3,0),Prévisions[E / S],"Sortie")</f>
        <v>0</v>
      </c>
      <c r="M61" s="137">
        <f>SUMIFS(Prévisions[Coût TTC],Prévisions[Spécification],$A61,Prévisions[0], "&gt;="&amp;M$3,Prévisions[0], "&lt;="&amp;EOMONTH(M$3,0),Prévisions[E / S],"Sortie")</f>
        <v>0</v>
      </c>
      <c r="N61" s="137">
        <f>SUMIFS(Prévisions[Coût TTC],Prévisions[Spécification],$A61,Prévisions[0], "&gt;="&amp;N$3,Prévisions[0], "&lt;="&amp;EOMONTH(N$3,0),Prévisions[E / S],"Sortie")</f>
        <v>0</v>
      </c>
      <c r="O61" s="137">
        <f>SUMIFS(Prévisions[Coût TTC],Prévisions[Spécification],$A61,Prévisions[0], "&gt;="&amp;O$3,Prévisions[0], "&lt;="&amp;EOMONTH(O$3,0),Prévisions[E / S],"Sortie")</f>
        <v>0</v>
      </c>
      <c r="P61" s="176">
        <f t="shared" si="13"/>
        <v>0</v>
      </c>
      <c r="Q61" s="131"/>
      <c r="R61" s="132"/>
      <c r="S61" s="132"/>
      <c r="T61" s="132"/>
      <c r="U61" s="133"/>
    </row>
    <row r="62" ht="18.75" customHeight="1" outlineLevel="2">
      <c r="A62" s="173" t="s">
        <v>26</v>
      </c>
      <c r="D62" s="181">
        <f t="shared" ref="D62:P62" si="14">SUM(D44:D61)</f>
        <v>0</v>
      </c>
      <c r="E62" s="181">
        <f t="shared" si="14"/>
        <v>0</v>
      </c>
      <c r="F62" s="181">
        <f t="shared" si="14"/>
        <v>0</v>
      </c>
      <c r="G62" s="181">
        <f t="shared" si="14"/>
        <v>0</v>
      </c>
      <c r="H62" s="181">
        <f t="shared" si="14"/>
        <v>1697.99</v>
      </c>
      <c r="I62" s="181">
        <f t="shared" si="14"/>
        <v>2412.99</v>
      </c>
      <c r="J62" s="181">
        <f t="shared" si="14"/>
        <v>242.99</v>
      </c>
      <c r="K62" s="181">
        <f t="shared" si="14"/>
        <v>2542.99</v>
      </c>
      <c r="L62" s="181">
        <f t="shared" si="14"/>
        <v>1902.99</v>
      </c>
      <c r="M62" s="181">
        <f t="shared" si="14"/>
        <v>702.99</v>
      </c>
      <c r="N62" s="181">
        <f t="shared" si="14"/>
        <v>3852.99</v>
      </c>
      <c r="O62" s="181">
        <f t="shared" si="14"/>
        <v>7002.99</v>
      </c>
      <c r="P62" s="182">
        <f t="shared" si="14"/>
        <v>20358.92</v>
      </c>
      <c r="Q62" s="131"/>
      <c r="R62" s="132"/>
      <c r="S62" s="132"/>
      <c r="T62" s="132"/>
      <c r="U62" s="133"/>
    </row>
    <row r="63" ht="9.0" customHeight="1" outlineLevel="1">
      <c r="A63" s="148"/>
      <c r="D63" s="161"/>
      <c r="Q63" s="131"/>
      <c r="R63" s="132"/>
      <c r="S63" s="132"/>
      <c r="T63" s="132"/>
      <c r="U63" s="133"/>
    </row>
    <row r="64" ht="18.75" customHeight="1" outlineLevel="1">
      <c r="A64" s="173" t="s">
        <v>200</v>
      </c>
      <c r="D64" s="172"/>
      <c r="Q64" s="131"/>
      <c r="R64" s="132"/>
      <c r="S64" s="132"/>
      <c r="T64" s="132"/>
      <c r="U64" s="133"/>
    </row>
    <row r="65" ht="18.75" customHeight="1" outlineLevel="2">
      <c r="A65" s="174" t="s">
        <v>192</v>
      </c>
      <c r="D65" s="175"/>
      <c r="Q65" s="131"/>
      <c r="R65" s="132"/>
      <c r="S65" s="132"/>
      <c r="T65" s="132"/>
      <c r="U65" s="133"/>
    </row>
    <row r="66" ht="18.75" customHeight="1" outlineLevel="2">
      <c r="A66" s="136" t="s">
        <v>54</v>
      </c>
      <c r="D66" s="137">
        <f>SUMIFS(Prévisions[Coût TTC],Prévisions[Spécification],$A66,Prévisions[0], "&gt;="&amp;D$3,Prévisions[0], "&lt;="&amp;EOMONTH(D$3,0),Prévisions[E / S],"Entrée")</f>
        <v>0</v>
      </c>
      <c r="E66" s="137">
        <f>SUMIFS(Prévisions[Coût TTC],Prévisions[Spécification],$A66,Prévisions[0], "&gt;="&amp;E$3,Prévisions[0], "&lt;="&amp;EOMONTH(E$3,0),Prévisions[E / S],"Entrée")</f>
        <v>0</v>
      </c>
      <c r="F66" s="137">
        <f>SUMIFS(Prévisions[Coût TTC],Prévisions[Spécification],$A66,Prévisions[0], "&gt;="&amp;F$3,Prévisions[0], "&lt;="&amp;EOMONTH(F$3,0),Prévisions[E / S],"Entrée")</f>
        <v>0</v>
      </c>
      <c r="G66" s="137">
        <f>SUMIFS(Prévisions[Coût TTC],Prévisions[Spécification],$A66,Prévisions[0], "&gt;="&amp;G$3,Prévisions[0], "&lt;="&amp;EOMONTH(G$3,0),Prévisions[E / S],"Entrée")</f>
        <v>0</v>
      </c>
      <c r="H66" s="137">
        <f>SUMIFS(Prévisions[Coût TTC],Prévisions[Spécification],$A66,Prévisions[0], "&gt;="&amp;H$3,Prévisions[0], "&lt;="&amp;EOMONTH(H$3,0),Prévisions[E / S],"Entrée")</f>
        <v>0</v>
      </c>
      <c r="I66" s="137">
        <f>SUMIFS(Prévisions[Coût TTC],Prévisions[Spécification],$A66,Prévisions[0], "&gt;="&amp;I$3,Prévisions[0], "&lt;="&amp;EOMONTH(I$3,0),Prévisions[E / S],"Entrée")</f>
        <v>325.8</v>
      </c>
      <c r="J66" s="137">
        <f>SUMIFS(Prévisions[Coût TTC],Prévisions[Spécification],$A66,Prévisions[0], "&gt;="&amp;J$3,Prévisions[0], "&lt;="&amp;EOMONTH(J$3,0),Prévisions[E / S],"Entrée")</f>
        <v>1500</v>
      </c>
      <c r="K66" s="137">
        <f>SUMIFS(Prévisions[Coût TTC],Prévisions[Spécification],$A66,Prévisions[0], "&gt;="&amp;K$3,Prévisions[0], "&lt;="&amp;EOMONTH(K$3,0),Prévisions[E / S],"Entrée")</f>
        <v>1327</v>
      </c>
      <c r="L66" s="137">
        <f>SUMIFS(Prévisions[Coût TTC],Prévisions[Spécification],$A66,Prévisions[0], "&gt;="&amp;L$3,Prévisions[0], "&lt;="&amp;EOMONTH(L$3,0),Prévisions[E / S],"Entrée")</f>
        <v>3000</v>
      </c>
      <c r="M66" s="137">
        <f>SUMIFS(Prévisions[Coût TTC],Prévisions[Spécification],$A66,Prévisions[0], "&gt;="&amp;M$3,Prévisions[0], "&lt;="&amp;EOMONTH(M$3,0),Prévisions[E / S],"Entrée")</f>
        <v>0</v>
      </c>
      <c r="N66" s="137">
        <f>SUMIFS(Prévisions[Coût TTC],Prévisions[Spécification],$A66,Prévisions[0], "&gt;="&amp;N$3,Prévisions[0], "&lt;="&amp;EOMONTH(N$3,0),Prévisions[E / S],"Entrée")</f>
        <v>0</v>
      </c>
      <c r="O66" s="137">
        <f>SUMIFS(Prévisions[Coût TTC],Prévisions[Spécification],$A66,Prévisions[0], "&gt;="&amp;O$3,Prévisions[0], "&lt;="&amp;EOMONTH(O$3,0),Prévisions[E / S],"Entrée")</f>
        <v>0</v>
      </c>
      <c r="P66" s="176">
        <f t="shared" ref="P66:P67" si="15">SUM(D66:O66)</f>
        <v>6152.8</v>
      </c>
      <c r="Q66" s="131"/>
      <c r="R66" s="132"/>
      <c r="S66" s="132"/>
      <c r="T66" s="132"/>
      <c r="U66" s="133"/>
    </row>
    <row r="67" ht="18.75" customHeight="1" outlineLevel="2">
      <c r="A67" s="177" t="s">
        <v>104</v>
      </c>
      <c r="D67" s="178">
        <f>SUMIFS(Prévisions[Coût TTC],Prévisions[Spécification],$A67,Prévisions[0], "&gt;="&amp;D$3,Prévisions[0], "&lt;="&amp;EOMONTH(D$3,0),Prévisions[E / S],"Entrée")</f>
        <v>0</v>
      </c>
      <c r="E67" s="178">
        <f>SUMIFS(Prévisions[Coût TTC],Prévisions[Spécification],$A67,Prévisions[0], "&gt;="&amp;E$3,Prévisions[0], "&lt;="&amp;EOMONTH(E$3,0),Prévisions[E / S],"Entrée")</f>
        <v>0</v>
      </c>
      <c r="F67" s="178">
        <f>SUMIFS(Prévisions[Coût TTC],Prévisions[Spécification],$A67,Prévisions[0], "&gt;="&amp;F$3,Prévisions[0], "&lt;="&amp;EOMONTH(F$3,0),Prévisions[E / S],"Entrée")</f>
        <v>0</v>
      </c>
      <c r="G67" s="178">
        <f>SUMIFS(Prévisions[Coût TTC],Prévisions[Spécification],$A67,Prévisions[0], "&gt;="&amp;G$3,Prévisions[0], "&lt;="&amp;EOMONTH(G$3,0),Prévisions[E / S],"Entrée")</f>
        <v>0</v>
      </c>
      <c r="H67" s="178">
        <f>SUMIFS(Prévisions[Coût TTC],Prévisions[Spécification],$A67,Prévisions[0], "&gt;="&amp;H$3,Prévisions[0], "&lt;="&amp;EOMONTH(H$3,0),Prévisions[E / S],"Entrée")</f>
        <v>0</v>
      </c>
      <c r="I67" s="178">
        <f>SUMIFS(Prévisions[Coût TTC],Prévisions[Spécification],$A67,Prévisions[0], "&gt;="&amp;I$3,Prévisions[0], "&lt;="&amp;EOMONTH(I$3,0),Prévisions[E / S],"Entrée")</f>
        <v>0</v>
      </c>
      <c r="J67" s="178">
        <f>SUMIFS(Prévisions[Coût TTC],Prévisions[Spécification],$A67,Prévisions[0], "&gt;="&amp;J$3,Prévisions[0], "&lt;="&amp;EOMONTH(J$3,0),Prévisions[E / S],"Entrée")</f>
        <v>0</v>
      </c>
      <c r="K67" s="178">
        <f>SUMIFS(Prévisions[Coût TTC],Prévisions[Spécification],$A67,Prévisions[0], "&gt;="&amp;K$3,Prévisions[0], "&lt;="&amp;EOMONTH(K$3,0),Prévisions[E / S],"Entrée")</f>
        <v>0</v>
      </c>
      <c r="L67" s="178">
        <f>SUMIFS(Prévisions[Coût TTC],Prévisions[Spécification],$A67,Prévisions[0], "&gt;="&amp;L$3,Prévisions[0], "&lt;="&amp;EOMONTH(L$3,0),Prévisions[E / S],"Entrée")</f>
        <v>0</v>
      </c>
      <c r="M67" s="178">
        <f>SUMIFS(Prévisions[Coût TTC],Prévisions[Spécification],$A67,Prévisions[0], "&gt;="&amp;M$3,Prévisions[0], "&lt;="&amp;EOMONTH(M$3,0),Prévisions[E / S],"Entrée")</f>
        <v>0</v>
      </c>
      <c r="N67" s="178">
        <f>SUMIFS(Prévisions[Coût TTC],Prévisions[Spécification],$A67,Prévisions[0], "&gt;="&amp;N$3,Prévisions[0], "&lt;="&amp;EOMONTH(N$3,0),Prévisions[E / S],"Entrée")</f>
        <v>0</v>
      </c>
      <c r="O67" s="178">
        <f>SUMIFS(Prévisions[Coût TTC],Prévisions[Spécification],$A67,Prévisions[0], "&gt;="&amp;O$3,Prévisions[0], "&lt;="&amp;EOMONTH(O$3,0),Prévisions[E / S],"Entrée")</f>
        <v>0</v>
      </c>
      <c r="P67" s="179">
        <f t="shared" si="15"/>
        <v>0</v>
      </c>
      <c r="Q67" s="131"/>
      <c r="R67" s="132"/>
      <c r="S67" s="132"/>
      <c r="T67" s="132"/>
      <c r="U67" s="133"/>
    </row>
    <row r="68" ht="18.75" customHeight="1" outlineLevel="2">
      <c r="A68" s="174" t="s">
        <v>193</v>
      </c>
      <c r="D68" s="175"/>
      <c r="Q68" s="131"/>
      <c r="R68" s="132"/>
      <c r="S68" s="132"/>
      <c r="T68" s="132"/>
      <c r="U68" s="133"/>
    </row>
    <row r="69" ht="18.75" customHeight="1" outlineLevel="2">
      <c r="A69" s="136" t="s">
        <v>193</v>
      </c>
      <c r="D69" s="137">
        <f>SUMIFS(Prévisions[Coût TTC],Prévisions[Spécification],$A69,Prévisions[0], "&gt;="&amp;D$3,Prévisions[0], "&lt;="&amp;EOMONTH(D$3,0),Prévisions[E / S],"Entrée")</f>
        <v>0</v>
      </c>
      <c r="E69" s="137">
        <f>SUMIFS(Prévisions[Coût TTC],Prévisions[Spécification],$A69,Prévisions[0], "&gt;="&amp;E$3,Prévisions[0], "&lt;="&amp;EOMONTH(E$3,0),Prévisions[E / S],"Entrée")</f>
        <v>0</v>
      </c>
      <c r="F69" s="137">
        <f>SUMIFS(Prévisions[Coût TTC],Prévisions[Spécification],$A69,Prévisions[0], "&gt;="&amp;F$3,Prévisions[0], "&lt;="&amp;EOMONTH(F$3,0),Prévisions[E / S],"Entrée")</f>
        <v>0</v>
      </c>
      <c r="G69" s="137">
        <f>SUMIFS(Prévisions[Coût TTC],Prévisions[Spécification],$A69,Prévisions[0], "&gt;="&amp;G$3,Prévisions[0], "&lt;="&amp;EOMONTH(G$3,0),Prévisions[E / S],"Entrée")</f>
        <v>0</v>
      </c>
      <c r="H69" s="137">
        <f>SUMIFS(Prévisions[Coût TTC],Prévisions[Spécification],$A69,Prévisions[0], "&gt;="&amp;H$3,Prévisions[0], "&lt;="&amp;EOMONTH(H$3,0),Prévisions[E / S],"Entrée")</f>
        <v>0</v>
      </c>
      <c r="I69" s="137">
        <f>SUMIFS(Prévisions[Coût TTC],Prévisions[Spécification],$A69,Prévisions[0], "&gt;="&amp;I$3,Prévisions[0], "&lt;="&amp;EOMONTH(I$3,0),Prévisions[E / S],"Entrée")</f>
        <v>0</v>
      </c>
      <c r="J69" s="137">
        <f>SUMIFS(Prévisions[Coût TTC],Prévisions[Spécification],$A69,Prévisions[0], "&gt;="&amp;J$3,Prévisions[0], "&lt;="&amp;EOMONTH(J$3,0),Prévisions[E / S],"Entrée")</f>
        <v>0</v>
      </c>
      <c r="K69" s="137">
        <f>SUMIFS(Prévisions[Coût TTC],Prévisions[Spécification],$A69,Prévisions[0], "&gt;="&amp;K$3,Prévisions[0], "&lt;="&amp;EOMONTH(K$3,0),Prévisions[E / S],"Entrée")</f>
        <v>0</v>
      </c>
      <c r="L69" s="137">
        <f>SUMIFS(Prévisions[Coût TTC],Prévisions[Spécification],$A69,Prévisions[0], "&gt;="&amp;L$3,Prévisions[0], "&lt;="&amp;EOMONTH(L$3,0),Prévisions[E / S],"Entrée")</f>
        <v>0</v>
      </c>
      <c r="M69" s="137">
        <f>SUMIFS(Prévisions[Coût TTC],Prévisions[Spécification],$A69,Prévisions[0], "&gt;="&amp;M$3,Prévisions[0], "&lt;="&amp;EOMONTH(M$3,0),Prévisions[E / S],"Entrée")</f>
        <v>0</v>
      </c>
      <c r="N69" s="137">
        <f>SUMIFS(Prévisions[Coût TTC],Prévisions[Spécification],$A69,Prévisions[0], "&gt;="&amp;N$3,Prévisions[0], "&lt;="&amp;EOMONTH(N$3,0),Prévisions[E / S],"Entrée")</f>
        <v>0</v>
      </c>
      <c r="O69" s="137">
        <f>SUMIFS(Prévisions[Coût TTC],Prévisions[Spécification],$A69,Prévisions[0], "&gt;="&amp;O$3,Prévisions[0], "&lt;="&amp;EOMONTH(O$3,0),Prévisions[E / S],"Entrée")</f>
        <v>0</v>
      </c>
      <c r="P69" s="176">
        <f>SUM(D69:O69)</f>
        <v>0</v>
      </c>
      <c r="Q69" s="131"/>
      <c r="R69" s="132"/>
      <c r="S69" s="132"/>
      <c r="T69" s="132"/>
      <c r="U69" s="133"/>
    </row>
    <row r="70" ht="18.75" customHeight="1" outlineLevel="2">
      <c r="A70" s="174" t="s">
        <v>195</v>
      </c>
      <c r="D70" s="183"/>
      <c r="Q70" s="131"/>
      <c r="R70" s="132"/>
      <c r="S70" s="132"/>
      <c r="T70" s="132"/>
      <c r="U70" s="133"/>
    </row>
    <row r="71" ht="18.75" customHeight="1" outlineLevel="2">
      <c r="A71" s="136" t="s">
        <v>67</v>
      </c>
      <c r="D71" s="137">
        <f>SUMIFS(Prévisions[Coût TTC],Prévisions[Spécification],$A71,Prévisions[0], "&gt;="&amp;D$3,Prévisions[0], "&lt;="&amp;EOMONTH(D$3,0),Prévisions[E / S],"Entrée")</f>
        <v>0</v>
      </c>
      <c r="E71" s="137">
        <f>SUMIFS(Prévisions[Coût TTC],Prévisions[Spécification],$A71,Prévisions[0], "&gt;="&amp;E$3,Prévisions[0], "&lt;="&amp;EOMONTH(E$3,0),Prévisions[E / S],"Entrée")</f>
        <v>0</v>
      </c>
      <c r="F71" s="137">
        <f>SUMIFS(Prévisions[Coût TTC],Prévisions[Spécification],$A71,Prévisions[0], "&gt;="&amp;F$3,Prévisions[0], "&lt;="&amp;EOMONTH(F$3,0),Prévisions[E / S],"Entrée")</f>
        <v>0</v>
      </c>
      <c r="G71" s="137">
        <f>SUMIFS(Prévisions[Coût TTC],Prévisions[Spécification],$A71,Prévisions[0], "&gt;="&amp;G$3,Prévisions[0], "&lt;="&amp;EOMONTH(G$3,0),Prévisions[E / S],"Entrée")</f>
        <v>0</v>
      </c>
      <c r="H71" s="137">
        <f>SUMIFS(Prévisions[Coût TTC],Prévisions[Spécification],$A71,Prévisions[0], "&gt;="&amp;H$3,Prévisions[0], "&lt;="&amp;EOMONTH(H$3,0),Prévisions[E / S],"Entrée")</f>
        <v>0</v>
      </c>
      <c r="I71" s="137">
        <f>SUMIFS(Prévisions[Coût TTC],Prévisions[Spécification],$A71,Prévisions[0], "&gt;="&amp;I$3,Prévisions[0], "&lt;="&amp;EOMONTH(I$3,0),Prévisions[E / S],"Entrée")</f>
        <v>0</v>
      </c>
      <c r="J71" s="137">
        <f>SUMIFS(Prévisions[Coût TTC],Prévisions[Spécification],$A71,Prévisions[0], "&gt;="&amp;J$3,Prévisions[0], "&lt;="&amp;EOMONTH(J$3,0),Prévisions[E / S],"Entrée")</f>
        <v>0</v>
      </c>
      <c r="K71" s="137">
        <f>SUMIFS(Prévisions[Coût TTC],Prévisions[Spécification],$A71,Prévisions[0], "&gt;="&amp;K$3,Prévisions[0], "&lt;="&amp;EOMONTH(K$3,0),Prévisions[E / S],"Entrée")</f>
        <v>0</v>
      </c>
      <c r="L71" s="137">
        <f>SUMIFS(Prévisions[Coût TTC],Prévisions[Spécification],$A71,Prévisions[0], "&gt;="&amp;L$3,Prévisions[0], "&lt;="&amp;EOMONTH(L$3,0),Prévisions[E / S],"Entrée")</f>
        <v>0</v>
      </c>
      <c r="M71" s="137">
        <f>SUMIFS(Prévisions[Coût TTC],Prévisions[Spécification],$A71,Prévisions[0], "&gt;="&amp;M$3,Prévisions[0], "&lt;="&amp;EOMONTH(M$3,0),Prévisions[E / S],"Entrée")</f>
        <v>0</v>
      </c>
      <c r="N71" s="137">
        <f>SUMIFS(Prévisions[Coût TTC],Prévisions[Spécification],$A71,Prévisions[0], "&gt;="&amp;N$3,Prévisions[0], "&lt;="&amp;EOMONTH(N$3,0),Prévisions[E / S],"Entrée")</f>
        <v>0</v>
      </c>
      <c r="O71" s="137">
        <f>SUMIFS(Prévisions[Coût TTC],Prévisions[Spécification],$A71,Prévisions[0], "&gt;="&amp;O$3,Prévisions[0], "&lt;="&amp;EOMONTH(O$3,0),Prévisions[E / S],"Entrée")</f>
        <v>0</v>
      </c>
      <c r="P71" s="176">
        <f>SUM(D71:O71)</f>
        <v>0</v>
      </c>
      <c r="Q71" s="131"/>
      <c r="R71" s="132"/>
      <c r="S71" s="132"/>
      <c r="T71" s="132"/>
      <c r="U71" s="133"/>
    </row>
    <row r="72" ht="18.75" customHeight="1" outlineLevel="2">
      <c r="A72" s="174" t="s">
        <v>196</v>
      </c>
      <c r="D72" s="183"/>
      <c r="Q72" s="131"/>
      <c r="R72" s="132"/>
      <c r="S72" s="132"/>
      <c r="T72" s="132"/>
      <c r="U72" s="133"/>
    </row>
    <row r="73" ht="18.75" customHeight="1" outlineLevel="2">
      <c r="A73" s="136" t="s">
        <v>60</v>
      </c>
      <c r="D73" s="137">
        <f>SUMIFS(Prévisions[Coût TTC],Prévisions[Spécification],$A73,Prévisions[0], "&gt;="&amp;D$3,Prévisions[0], "&lt;="&amp;EOMONTH(D$3,0),Prévisions[E / S],"Entrée")</f>
        <v>0</v>
      </c>
      <c r="E73" s="137">
        <f>SUMIFS(Prévisions[Coût TTC],Prévisions[Spécification],$A73,Prévisions[0], "&gt;="&amp;E$3,Prévisions[0], "&lt;="&amp;EOMONTH(E$3,0),Prévisions[E / S],"Entrée")</f>
        <v>0</v>
      </c>
      <c r="F73" s="137">
        <f>SUMIFS(Prévisions[Coût TTC],Prévisions[Spécification],$A73,Prévisions[0], "&gt;="&amp;F$3,Prévisions[0], "&lt;="&amp;EOMONTH(F$3,0),Prévisions[E / S],"Entrée")</f>
        <v>0</v>
      </c>
      <c r="G73" s="137">
        <f>SUMIFS(Prévisions[Coût TTC],Prévisions[Spécification],$A73,Prévisions[0], "&gt;="&amp;G$3,Prévisions[0], "&lt;="&amp;EOMONTH(G$3,0),Prévisions[E / S],"Entrée")</f>
        <v>0</v>
      </c>
      <c r="H73" s="137">
        <f>SUMIFS(Prévisions[Coût TTC],Prévisions[Spécification],$A73,Prévisions[0], "&gt;="&amp;H$3,Prévisions[0], "&lt;="&amp;EOMONTH(H$3,0),Prévisions[E / S],"Entrée")</f>
        <v>0</v>
      </c>
      <c r="I73" s="137">
        <f>SUMIFS(Prévisions[Coût TTC],Prévisions[Spécification],$A73,Prévisions[0], "&gt;="&amp;I$3,Prévisions[0], "&lt;="&amp;EOMONTH(I$3,0),Prévisions[E / S],"Entrée")</f>
        <v>0</v>
      </c>
      <c r="J73" s="137">
        <f>SUMIFS(Prévisions[Coût TTC],Prévisions[Spécification],$A73,Prévisions[0], "&gt;="&amp;J$3,Prévisions[0], "&lt;="&amp;EOMONTH(J$3,0),Prévisions[E / S],"Entrée")</f>
        <v>0</v>
      </c>
      <c r="K73" s="137">
        <f>SUMIFS(Prévisions[Coût TTC],Prévisions[Spécification],$A73,Prévisions[0], "&gt;="&amp;K$3,Prévisions[0], "&lt;="&amp;EOMONTH(K$3,0),Prévisions[E / S],"Entrée")</f>
        <v>0</v>
      </c>
      <c r="L73" s="137">
        <f>SUMIFS(Prévisions[Coût TTC],Prévisions[Spécification],$A73,Prévisions[0], "&gt;="&amp;L$3,Prévisions[0], "&lt;="&amp;EOMONTH(L$3,0),Prévisions[E / S],"Entrée")</f>
        <v>0</v>
      </c>
      <c r="M73" s="137">
        <f>SUMIFS(Prévisions[Coût TTC],Prévisions[Spécification],$A73,Prévisions[0], "&gt;="&amp;M$3,Prévisions[0], "&lt;="&amp;EOMONTH(M$3,0),Prévisions[E / S],"Entrée")</f>
        <v>0</v>
      </c>
      <c r="N73" s="137">
        <f>SUMIFS(Prévisions[Coût TTC],Prévisions[Spécification],$A73,Prévisions[0], "&gt;="&amp;N$3,Prévisions[0], "&lt;="&amp;EOMONTH(N$3,0),Prévisions[E / S],"Entrée")</f>
        <v>0</v>
      </c>
      <c r="O73" s="137">
        <f>SUMIFS(Prévisions[Coût TTC],Prévisions[Spécification],$A73,Prévisions[0], "&gt;="&amp;O$3,Prévisions[0], "&lt;="&amp;EOMONTH(O$3,0),Prévisions[E / S],"Entrée")</f>
        <v>0</v>
      </c>
      <c r="P73" s="176">
        <f>SUM(D73:O73)</f>
        <v>0</v>
      </c>
      <c r="Q73" s="131"/>
      <c r="R73" s="132"/>
      <c r="S73" s="132"/>
      <c r="T73" s="132"/>
      <c r="U73" s="133"/>
    </row>
    <row r="74" ht="18.75" customHeight="1" outlineLevel="2">
      <c r="A74" s="173" t="s">
        <v>27</v>
      </c>
      <c r="D74" s="181">
        <f t="shared" ref="D74:F74" si="16">SUM(D66:D69)</f>
        <v>0</v>
      </c>
      <c r="E74" s="181">
        <f t="shared" si="16"/>
        <v>0</v>
      </c>
      <c r="F74" s="181">
        <f t="shared" si="16"/>
        <v>0</v>
      </c>
      <c r="G74" s="181">
        <f t="shared" ref="G74:O74" si="17">SUM(G66:G73)</f>
        <v>0</v>
      </c>
      <c r="H74" s="181">
        <f t="shared" si="17"/>
        <v>0</v>
      </c>
      <c r="I74" s="181">
        <f t="shared" si="17"/>
        <v>325.8</v>
      </c>
      <c r="J74" s="181">
        <f t="shared" si="17"/>
        <v>1500</v>
      </c>
      <c r="K74" s="181">
        <f t="shared" si="17"/>
        <v>1327</v>
      </c>
      <c r="L74" s="181">
        <f t="shared" si="17"/>
        <v>3000</v>
      </c>
      <c r="M74" s="181">
        <f t="shared" si="17"/>
        <v>0</v>
      </c>
      <c r="N74" s="181">
        <f t="shared" si="17"/>
        <v>0</v>
      </c>
      <c r="O74" s="181">
        <f t="shared" si="17"/>
        <v>0</v>
      </c>
      <c r="P74" s="182">
        <f>SUM(P66:P69)</f>
        <v>6152.8</v>
      </c>
      <c r="Q74" s="131"/>
      <c r="R74" s="132"/>
      <c r="S74" s="132"/>
      <c r="T74" s="132"/>
      <c r="U74" s="133"/>
    </row>
    <row r="75" ht="9.0" customHeight="1">
      <c r="A75" s="148"/>
      <c r="D75" s="161"/>
      <c r="Q75" s="131"/>
      <c r="R75" s="132"/>
      <c r="S75" s="132"/>
      <c r="T75" s="132"/>
      <c r="U75" s="133"/>
    </row>
    <row r="76" ht="18.75" customHeight="1">
      <c r="A76" s="184" t="s">
        <v>201</v>
      </c>
      <c r="D76" s="185">
        <f t="shared" ref="D76:P76" si="18">D74-D62</f>
        <v>0</v>
      </c>
      <c r="E76" s="185">
        <f t="shared" si="18"/>
        <v>0</v>
      </c>
      <c r="F76" s="185">
        <f t="shared" si="18"/>
        <v>0</v>
      </c>
      <c r="G76" s="185">
        <f t="shared" si="18"/>
        <v>0</v>
      </c>
      <c r="H76" s="185">
        <f t="shared" si="18"/>
        <v>-1697.99</v>
      </c>
      <c r="I76" s="185">
        <f t="shared" si="18"/>
        <v>-2087.19</v>
      </c>
      <c r="J76" s="185">
        <f t="shared" si="18"/>
        <v>1257.01</v>
      </c>
      <c r="K76" s="185">
        <f t="shared" si="18"/>
        <v>-1215.99</v>
      </c>
      <c r="L76" s="185">
        <f t="shared" si="18"/>
        <v>1097.01</v>
      </c>
      <c r="M76" s="185">
        <f t="shared" si="18"/>
        <v>-702.99</v>
      </c>
      <c r="N76" s="185">
        <f t="shared" si="18"/>
        <v>-3852.99</v>
      </c>
      <c r="O76" s="185">
        <f t="shared" si="18"/>
        <v>-7002.99</v>
      </c>
      <c r="P76" s="186">
        <f t="shared" si="18"/>
        <v>-14206.12</v>
      </c>
      <c r="Q76" s="131"/>
      <c r="R76" s="132"/>
      <c r="S76" s="132"/>
      <c r="T76" s="132"/>
      <c r="U76" s="133"/>
    </row>
    <row r="77" ht="9.0" customHeight="1">
      <c r="A77" s="148"/>
      <c r="D77" s="187"/>
      <c r="Q77" s="131"/>
      <c r="R77" s="132"/>
      <c r="S77" s="132"/>
      <c r="T77" s="132"/>
      <c r="U77" s="133"/>
    </row>
    <row r="78" ht="18.75" customHeight="1">
      <c r="A78" s="188" t="s">
        <v>202</v>
      </c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90"/>
      <c r="Q78" s="131"/>
      <c r="R78" s="132"/>
      <c r="S78" s="132"/>
      <c r="T78" s="132"/>
      <c r="U78" s="133"/>
    </row>
    <row r="79" ht="18.75" customHeight="1">
      <c r="A79" s="191" t="s">
        <v>203</v>
      </c>
      <c r="D79" s="159">
        <f t="shared" ref="D79:P79" si="19">D74+D37</f>
        <v>2197.08</v>
      </c>
      <c r="E79" s="159">
        <f t="shared" si="19"/>
        <v>2530.07</v>
      </c>
      <c r="F79" s="159">
        <f t="shared" si="19"/>
        <v>1179.84</v>
      </c>
      <c r="G79" s="159">
        <f t="shared" si="19"/>
        <v>1780.4</v>
      </c>
      <c r="H79" s="159">
        <f t="shared" si="19"/>
        <v>906.13</v>
      </c>
      <c r="I79" s="159">
        <f t="shared" si="19"/>
        <v>325.8</v>
      </c>
      <c r="J79" s="159">
        <f t="shared" si="19"/>
        <v>1500</v>
      </c>
      <c r="K79" s="159">
        <f t="shared" si="19"/>
        <v>1327</v>
      </c>
      <c r="L79" s="159">
        <f t="shared" si="19"/>
        <v>3000</v>
      </c>
      <c r="M79" s="159">
        <f t="shared" si="19"/>
        <v>0</v>
      </c>
      <c r="N79" s="159">
        <f t="shared" si="19"/>
        <v>0</v>
      </c>
      <c r="O79" s="159">
        <f t="shared" si="19"/>
        <v>0</v>
      </c>
      <c r="P79" s="160">
        <f t="shared" si="19"/>
        <v>13917.93</v>
      </c>
      <c r="Q79" s="131"/>
      <c r="R79" s="132"/>
      <c r="S79" s="132"/>
      <c r="T79" s="132"/>
      <c r="U79" s="133"/>
    </row>
    <row r="80" ht="18.75" customHeight="1">
      <c r="A80" s="192" t="s">
        <v>204</v>
      </c>
      <c r="D80" s="193">
        <f t="shared" ref="D80:P80" si="20">D25+D62</f>
        <v>3693.82</v>
      </c>
      <c r="E80" s="193">
        <f t="shared" si="20"/>
        <v>1270.44</v>
      </c>
      <c r="F80" s="193">
        <f t="shared" si="20"/>
        <v>1416.39</v>
      </c>
      <c r="G80" s="193">
        <f t="shared" si="20"/>
        <v>1472.04</v>
      </c>
      <c r="H80" s="193">
        <f t="shared" si="20"/>
        <v>2166.98</v>
      </c>
      <c r="I80" s="193">
        <f t="shared" si="20"/>
        <v>2412.99</v>
      </c>
      <c r="J80" s="193">
        <f t="shared" si="20"/>
        <v>242.99</v>
      </c>
      <c r="K80" s="193">
        <f t="shared" si="20"/>
        <v>2542.99</v>
      </c>
      <c r="L80" s="193">
        <f t="shared" si="20"/>
        <v>1902.99</v>
      </c>
      <c r="M80" s="193">
        <f t="shared" si="20"/>
        <v>702.99</v>
      </c>
      <c r="N80" s="193">
        <f t="shared" si="20"/>
        <v>3852.99</v>
      </c>
      <c r="O80" s="193">
        <f t="shared" si="20"/>
        <v>7002.99</v>
      </c>
      <c r="P80" s="194">
        <f t="shared" si="20"/>
        <v>27908.75</v>
      </c>
      <c r="Q80" s="131"/>
      <c r="R80" s="132"/>
      <c r="S80" s="132"/>
      <c r="T80" s="132"/>
      <c r="U80" s="133"/>
    </row>
    <row r="81" ht="18.75" customHeight="1">
      <c r="A81" s="195" t="s">
        <v>205</v>
      </c>
      <c r="D81" s="163">
        <f t="shared" ref="D81:P81" si="21">D79-D80</f>
        <v>-1496.74</v>
      </c>
      <c r="E81" s="163">
        <f t="shared" si="21"/>
        <v>1259.63</v>
      </c>
      <c r="F81" s="163">
        <f t="shared" si="21"/>
        <v>-236.55</v>
      </c>
      <c r="G81" s="163">
        <f t="shared" si="21"/>
        <v>308.36</v>
      </c>
      <c r="H81" s="163">
        <f t="shared" si="21"/>
        <v>-1260.85</v>
      </c>
      <c r="I81" s="163">
        <f t="shared" si="21"/>
        <v>-2087.19</v>
      </c>
      <c r="J81" s="163">
        <f t="shared" si="21"/>
        <v>1257.01</v>
      </c>
      <c r="K81" s="163">
        <f t="shared" si="21"/>
        <v>-1215.99</v>
      </c>
      <c r="L81" s="163">
        <f t="shared" si="21"/>
        <v>1097.01</v>
      </c>
      <c r="M81" s="163">
        <f t="shared" si="21"/>
        <v>-702.99</v>
      </c>
      <c r="N81" s="163">
        <f t="shared" si="21"/>
        <v>-3852.99</v>
      </c>
      <c r="O81" s="163">
        <f t="shared" si="21"/>
        <v>-7002.99</v>
      </c>
      <c r="P81" s="164">
        <f t="shared" si="21"/>
        <v>-13990.82</v>
      </c>
      <c r="Q81" s="131"/>
      <c r="R81" s="132"/>
      <c r="S81" s="132"/>
      <c r="T81" s="132"/>
      <c r="U81" s="133"/>
    </row>
    <row r="82" ht="26.25" customHeight="1">
      <c r="A82" s="196" t="s">
        <v>206</v>
      </c>
      <c r="D82" s="197">
        <f>$G$2+D81</f>
        <v>177.1</v>
      </c>
      <c r="E82" s="197">
        <f t="shared" ref="E82:O82" si="22">D82+E81</f>
        <v>1436.73</v>
      </c>
      <c r="F82" s="197">
        <f t="shared" si="22"/>
        <v>1200.18</v>
      </c>
      <c r="G82" s="197">
        <f t="shared" si="22"/>
        <v>1508.54</v>
      </c>
      <c r="H82" s="197">
        <f t="shared" si="22"/>
        <v>247.69</v>
      </c>
      <c r="I82" s="197">
        <f t="shared" si="22"/>
        <v>-1839.5</v>
      </c>
      <c r="J82" s="197">
        <f t="shared" si="22"/>
        <v>-582.49</v>
      </c>
      <c r="K82" s="197">
        <f t="shared" si="22"/>
        <v>-1798.48</v>
      </c>
      <c r="L82" s="197">
        <f t="shared" si="22"/>
        <v>-701.47</v>
      </c>
      <c r="M82" s="197">
        <f t="shared" si="22"/>
        <v>-1404.46</v>
      </c>
      <c r="N82" s="197">
        <f t="shared" si="22"/>
        <v>-5257.45</v>
      </c>
      <c r="O82" s="197">
        <f t="shared" si="22"/>
        <v>-12260.44</v>
      </c>
      <c r="P82" s="198">
        <f>O82</f>
        <v>-12260.44</v>
      </c>
      <c r="Q82" s="131"/>
      <c r="R82" s="132"/>
      <c r="S82" s="132"/>
      <c r="T82" s="132"/>
      <c r="U82" s="133"/>
    </row>
    <row r="83" ht="18.75" customHeight="1">
      <c r="A83" s="199" t="s">
        <v>29</v>
      </c>
      <c r="B83" s="200"/>
      <c r="C83" s="200"/>
      <c r="D83" s="201" t="str">
        <f t="shared" ref="D83:P83" si="23">IF(D82&lt;0,"⚠️ DÉFICIT",IF(D82&lt;500,"⚡ FAIBLE","✅ OK"))</f>
        <v>⚡ FAIBLE</v>
      </c>
      <c r="E83" s="201" t="str">
        <f t="shared" si="23"/>
        <v>✅ OK</v>
      </c>
      <c r="F83" s="201" t="str">
        <f t="shared" si="23"/>
        <v>✅ OK</v>
      </c>
      <c r="G83" s="201" t="str">
        <f t="shared" si="23"/>
        <v>✅ OK</v>
      </c>
      <c r="H83" s="201" t="str">
        <f t="shared" si="23"/>
        <v>⚡ FAIBLE</v>
      </c>
      <c r="I83" s="201" t="str">
        <f t="shared" si="23"/>
        <v>⚠️ DÉFICIT</v>
      </c>
      <c r="J83" s="201" t="str">
        <f t="shared" si="23"/>
        <v>⚠️ DÉFICIT</v>
      </c>
      <c r="K83" s="201" t="str">
        <f t="shared" si="23"/>
        <v>⚠️ DÉFICIT</v>
      </c>
      <c r="L83" s="201" t="str">
        <f t="shared" si="23"/>
        <v>⚠️ DÉFICIT</v>
      </c>
      <c r="M83" s="201" t="str">
        <f t="shared" si="23"/>
        <v>⚠️ DÉFICIT</v>
      </c>
      <c r="N83" s="201" t="str">
        <f t="shared" si="23"/>
        <v>⚠️ DÉFICIT</v>
      </c>
      <c r="O83" s="201" t="str">
        <f t="shared" si="23"/>
        <v>⚠️ DÉFICIT</v>
      </c>
      <c r="P83" s="202" t="str">
        <f t="shared" si="23"/>
        <v>⚠️ DÉFICIT</v>
      </c>
      <c r="Q83" s="165"/>
      <c r="R83" s="166"/>
      <c r="S83" s="166"/>
      <c r="T83" s="166"/>
      <c r="U83" s="167"/>
    </row>
    <row r="84" ht="18.75" customHeight="1">
      <c r="A84" s="203" t="s">
        <v>207</v>
      </c>
      <c r="B84" s="204"/>
      <c r="C84" s="204"/>
      <c r="D84" s="205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7"/>
      <c r="Q84" s="131"/>
      <c r="R84" s="132"/>
      <c r="S84" s="132"/>
      <c r="T84" s="132"/>
      <c r="U84" s="132"/>
    </row>
    <row r="85" ht="30.75" customHeight="1">
      <c r="A85" s="199" t="s">
        <v>42</v>
      </c>
      <c r="B85" s="200"/>
      <c r="C85" s="200"/>
      <c r="D85" s="208" t="str">
        <f>IF(COUNTIFS('Flux Journalier'!$A$5:$A$369, "&gt;="&amp;D$3, 'Flux Journalier'!$A$5:$A$369, "&lt;="&amp;EOMONTH(D$3, 0), 'Flux Journalier'!$H$5:$H$369, "&lt;0") &gt; 0, "⛔  DÉCOUVERT", "✅ OK")</f>
        <v>✅ OK</v>
      </c>
      <c r="E85" s="208" t="str">
        <f>IF(COUNTIFS('Flux Journalier'!$A$5:$A$369, "&gt;="&amp;E$3, 'Flux Journalier'!$A$5:$A$369, "&lt;="&amp;EOMONTH(E$3, 0), 'Flux Journalier'!$H$5:$H$369, "&lt;0") &gt; 0, "⛔  DÉCOUVERT", "✅ OK")</f>
        <v>✅ OK</v>
      </c>
      <c r="F85" s="208" t="str">
        <f>IF(COUNTIFS('Flux Journalier'!$A$5:$A$369, "&gt;="&amp;F$3, 'Flux Journalier'!$A$5:$A$369, "&lt;="&amp;EOMONTH(F$3, 0), 'Flux Journalier'!$H$5:$H$369, "&lt;0") &gt; 0, "⛔  DÉCOUVERT", "✅ OK")</f>
        <v>✅ OK</v>
      </c>
      <c r="G85" s="208" t="str">
        <f>IF(COUNTIFS('Flux Journalier'!$A$5:$A$369, "&gt;="&amp;G$3, 'Flux Journalier'!$A$5:$A$369, "&lt;="&amp;EOMONTH(G$3, 0), 'Flux Journalier'!$H$5:$H$369, "&lt;0") &gt; 0, "⛔  DÉCOUVERT", "✅ OK")</f>
        <v>✅ OK</v>
      </c>
      <c r="H85" s="208" t="str">
        <f>IF(COUNTIFS('Flux Journalier'!$A$5:$A$369, "&gt;="&amp;H$3, 'Flux Journalier'!$A$5:$A$369, "&lt;="&amp;EOMONTH(H$3, 0), 'Flux Journalier'!$H$5:$H$369, "&lt;0") &gt; 0, "⛔  DÉCOUVERT", "✅ OK")</f>
        <v>✅ OK</v>
      </c>
      <c r="I85" s="208" t="str">
        <f>IF(COUNTIFS('Flux Journalier'!$A$5:$A$369, "&gt;="&amp;I$3, 'Flux Journalier'!$A$5:$A$369, "&lt;="&amp;EOMONTH(I$3, 0), 'Flux Journalier'!$H$5:$H$369, "&lt;0") &gt; 0, "⛔  DÉCOUVERT", "✅ OK")</f>
        <v>⛔  DÉCOUVERT</v>
      </c>
      <c r="J85" s="208" t="str">
        <f>IF(COUNTIFS('Flux Journalier'!$A$5:$A$369, "&gt;="&amp;J$3, 'Flux Journalier'!$A$5:$A$369, "&lt;="&amp;EOMONTH(J$3, 0), 'Flux Journalier'!$H$5:$H$369, "&lt;0") &gt; 0, "⛔  DÉCOUVERT", "✅ OK")</f>
        <v>⛔  DÉCOUVERT</v>
      </c>
      <c r="K85" s="208" t="str">
        <f>IF(COUNTIFS('Flux Journalier'!$A$5:$A$369, "&gt;="&amp;K$3, 'Flux Journalier'!$A$5:$A$369, "&lt;="&amp;EOMONTH(K$3, 0), 'Flux Journalier'!$H$5:$H$369, "&lt;0") &gt; 0, "⛔  DÉCOUVERT", "✅ OK")</f>
        <v>⛔  DÉCOUVERT</v>
      </c>
      <c r="L85" s="208" t="str">
        <f>IF(COUNTIFS('Flux Journalier'!$A$5:$A$369, "&gt;="&amp;L$3, 'Flux Journalier'!$A$5:$A$369, "&lt;="&amp;EOMONTH(L$3, 0), 'Flux Journalier'!$H$5:$H$369, "&lt;0") &gt; 0, "⛔  DÉCOUVERT", "✅ OK")</f>
        <v>⛔  DÉCOUVERT</v>
      </c>
      <c r="M85" s="208" t="str">
        <f>IF(COUNTIFS('Flux Journalier'!$A$5:$A$369, "&gt;="&amp;M$3, 'Flux Journalier'!$A$5:$A$369, "&lt;="&amp;EOMONTH(M$3, 0), 'Flux Journalier'!$H$5:$H$369, "&lt;0") &gt; 0, "⛔  DÉCOUVERT", "✅ OK")</f>
        <v>⛔  DÉCOUVERT</v>
      </c>
      <c r="N85" s="208" t="str">
        <f>IF(COUNTIFS('Flux Journalier'!$A$5:$A$369, "&gt;="&amp;N$3, 'Flux Journalier'!$A$5:$A$369, "&lt;="&amp;EOMONTH(N$3, 0), 'Flux Journalier'!$H$5:$H$369, "&lt;0") &gt; 0, "⛔  DÉCOUVERT", "✅ OK")</f>
        <v>⛔  DÉCOUVERT</v>
      </c>
      <c r="O85" s="208" t="str">
        <f>IF(COUNTIFS('Flux Journalier'!$A$5:$A$369, "&gt;="&amp;O$3, 'Flux Journalier'!$A$5:$A$369, "&lt;="&amp;EOMONTH(O$3, 0), 'Flux Journalier'!$H$5:$H$369, "&lt;0") &gt; 0, "⛔  DÉCOUVERT", "✅ OK")</f>
        <v>⛔  DÉCOUVERT</v>
      </c>
      <c r="P85" s="51" t="str">
        <f>COUNTIF(D85:O85,"⛔  DÉCOUVERT")&amp;" mois à risque"</f>
        <v>7 mois à risque</v>
      </c>
      <c r="Q85" s="131"/>
      <c r="R85" s="132"/>
      <c r="S85" s="132"/>
      <c r="T85" s="132"/>
      <c r="U85" s="132"/>
    </row>
    <row r="86" ht="18.75" customHeight="1">
      <c r="A86" s="5"/>
      <c r="B86" s="5"/>
      <c r="C86" s="5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10"/>
      <c r="P86" s="211"/>
      <c r="Q86" s="131"/>
      <c r="R86" s="132"/>
      <c r="S86" s="132"/>
      <c r="T86" s="132"/>
      <c r="U86" s="132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212"/>
      <c r="P87" s="213"/>
      <c r="Q87" s="131"/>
      <c r="R87" s="132"/>
      <c r="S87" s="132"/>
      <c r="T87" s="132"/>
      <c r="U87" s="132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212"/>
      <c r="P88" s="213"/>
      <c r="Q88" s="131"/>
      <c r="R88" s="132"/>
      <c r="S88" s="132"/>
      <c r="T88" s="132"/>
      <c r="U88" s="132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212"/>
      <c r="P89" s="213"/>
      <c r="Q89" s="131"/>
      <c r="R89" s="132"/>
      <c r="S89" s="132"/>
      <c r="T89" s="132"/>
      <c r="U89" s="132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212"/>
      <c r="P90" s="213"/>
      <c r="Q90" s="131"/>
      <c r="R90" s="132"/>
      <c r="S90" s="132"/>
      <c r="T90" s="132"/>
      <c r="U90" s="132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212"/>
      <c r="P91" s="213"/>
      <c r="Q91" s="131"/>
      <c r="R91" s="132"/>
      <c r="S91" s="132"/>
      <c r="T91" s="132"/>
      <c r="U91" s="132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212"/>
      <c r="P92" s="213"/>
      <c r="Q92" s="131"/>
      <c r="R92" s="132"/>
      <c r="S92" s="132"/>
      <c r="T92" s="132"/>
      <c r="U92" s="132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212"/>
      <c r="P93" s="213"/>
      <c r="Q93" s="131"/>
      <c r="R93" s="132"/>
      <c r="S93" s="132"/>
      <c r="T93" s="132"/>
      <c r="U93" s="132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212"/>
      <c r="P94" s="213"/>
      <c r="Q94" s="131"/>
      <c r="R94" s="132"/>
      <c r="S94" s="132"/>
      <c r="T94" s="132"/>
      <c r="U94" s="132"/>
    </row>
  </sheetData>
  <mergeCells count="115">
    <mergeCell ref="A27:C27"/>
    <mergeCell ref="A28:C28"/>
    <mergeCell ref="A29:C29"/>
    <mergeCell ref="A30:C30"/>
    <mergeCell ref="A31:C31"/>
    <mergeCell ref="A32:C32"/>
    <mergeCell ref="A33:C33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8:C78"/>
    <mergeCell ref="A79:C79"/>
    <mergeCell ref="A80:C80"/>
    <mergeCell ref="A81:C81"/>
    <mergeCell ref="A82:C82"/>
    <mergeCell ref="A83:C83"/>
    <mergeCell ref="A84:C84"/>
    <mergeCell ref="A85:C85"/>
    <mergeCell ref="A71:C71"/>
    <mergeCell ref="A72:C72"/>
    <mergeCell ref="A73:C73"/>
    <mergeCell ref="A74:C74"/>
    <mergeCell ref="A75:C75"/>
    <mergeCell ref="A76:C76"/>
    <mergeCell ref="A77:C77"/>
    <mergeCell ref="D68:P68"/>
    <mergeCell ref="D70:P70"/>
    <mergeCell ref="D72:P72"/>
    <mergeCell ref="D75:P75"/>
    <mergeCell ref="D77:P77"/>
    <mergeCell ref="D84:P84"/>
    <mergeCell ref="D44:P44"/>
    <mergeCell ref="D48:P48"/>
    <mergeCell ref="D55:P55"/>
    <mergeCell ref="D58:P58"/>
    <mergeCell ref="D63:P63"/>
    <mergeCell ref="D64:P64"/>
    <mergeCell ref="D65:P65"/>
    <mergeCell ref="A1:C1"/>
    <mergeCell ref="D1:P1"/>
    <mergeCell ref="A2:C2"/>
    <mergeCell ref="H2:P2"/>
    <mergeCell ref="A3:C3"/>
    <mergeCell ref="A4:C4"/>
    <mergeCell ref="D4:P4"/>
    <mergeCell ref="A5:C5"/>
    <mergeCell ref="D5:P5"/>
    <mergeCell ref="A6:C6"/>
    <mergeCell ref="A7:C7"/>
    <mergeCell ref="A8:C8"/>
    <mergeCell ref="A9:C9"/>
    <mergeCell ref="D9:P9"/>
    <mergeCell ref="A10:C10"/>
    <mergeCell ref="A11:C11"/>
    <mergeCell ref="A12:C12"/>
    <mergeCell ref="A13:C13"/>
    <mergeCell ref="A14:C14"/>
    <mergeCell ref="A15:C15"/>
    <mergeCell ref="D16:P16"/>
    <mergeCell ref="D20:P20"/>
    <mergeCell ref="A16:C16"/>
    <mergeCell ref="A17:C17"/>
    <mergeCell ref="A18:C18"/>
    <mergeCell ref="A19:C19"/>
    <mergeCell ref="A20:C20"/>
    <mergeCell ref="A21:C21"/>
    <mergeCell ref="A22:C22"/>
    <mergeCell ref="D31:P31"/>
    <mergeCell ref="D33:P33"/>
    <mergeCell ref="A23:C23"/>
    <mergeCell ref="A24:C24"/>
    <mergeCell ref="A25:C25"/>
    <mergeCell ref="A26:C26"/>
    <mergeCell ref="D26:P26"/>
    <mergeCell ref="D27:P27"/>
    <mergeCell ref="D28:P28"/>
    <mergeCell ref="A34:C34"/>
    <mergeCell ref="A35:C35"/>
    <mergeCell ref="D35:P35"/>
    <mergeCell ref="D38:P38"/>
    <mergeCell ref="D41:P41"/>
    <mergeCell ref="D42:P42"/>
    <mergeCell ref="D43:P43"/>
  </mergeCells>
  <conditionalFormatting sqref="D5:O24 D28:O36 D45:O61 D66:O73">
    <cfRule type="cellIs" dxfId="7" priority="1" operator="notEqual">
      <formula>0</formula>
    </cfRule>
  </conditionalFormatting>
  <conditionalFormatting sqref="D5:O24 D28:O36 D45:O61 D66:O73">
    <cfRule type="cellIs" dxfId="8" priority="2" operator="equal">
      <formula>0</formula>
    </cfRule>
  </conditionalFormatting>
  <conditionalFormatting sqref="D40:O40 D82:O82">
    <cfRule type="colorScale" priority="3">
      <colorScale>
        <cfvo type="formula" val="-1"/>
        <cfvo type="formula" val="0"/>
        <cfvo type="formula" val="5000"/>
        <color rgb="FFE67C73"/>
        <color rgb="FFFFD666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4" width="17.0"/>
    <col customWidth="1" min="5" max="6" width="19.0"/>
    <col customWidth="1" min="7" max="7" width="18.25"/>
    <col customWidth="1" min="8" max="8" width="22.38"/>
    <col customWidth="1" min="9" max="9" width="16.38"/>
    <col customWidth="1" min="11" max="11" width="100.13"/>
  </cols>
  <sheetData>
    <row r="1">
      <c r="A1" s="214" t="s">
        <v>208</v>
      </c>
      <c r="B1" s="44"/>
      <c r="C1" s="44"/>
      <c r="D1" s="44"/>
      <c r="E1" s="44"/>
      <c r="F1" s="44"/>
      <c r="G1" s="44"/>
      <c r="H1" s="44"/>
      <c r="I1" s="45"/>
      <c r="J1" s="215">
        <v>0.0</v>
      </c>
      <c r="K1" s="216"/>
    </row>
    <row r="2">
      <c r="A2" s="217" t="s">
        <v>209</v>
      </c>
      <c r="B2" s="44"/>
      <c r="C2" s="44"/>
      <c r="D2" s="44"/>
      <c r="E2" s="44"/>
      <c r="F2" s="44"/>
      <c r="G2" s="44"/>
      <c r="H2" s="44"/>
      <c r="I2" s="45"/>
      <c r="K2" s="218"/>
    </row>
    <row r="3" ht="18.75" customHeight="1">
      <c r="A3" s="219" t="s">
        <v>210</v>
      </c>
      <c r="B3" s="220"/>
      <c r="C3" s="221">
        <v>500.0</v>
      </c>
      <c r="D3" s="220"/>
      <c r="E3" s="222" t="s">
        <v>211</v>
      </c>
      <c r="F3" s="204"/>
      <c r="G3" s="204"/>
      <c r="H3" s="204"/>
      <c r="I3" s="220"/>
      <c r="K3" s="218"/>
    </row>
    <row r="4">
      <c r="A4" s="223" t="s">
        <v>44</v>
      </c>
      <c r="B4" s="223" t="s">
        <v>212</v>
      </c>
      <c r="C4" s="223" t="s">
        <v>213</v>
      </c>
      <c r="D4" s="224" t="s">
        <v>214</v>
      </c>
      <c r="E4" s="225" t="s">
        <v>215</v>
      </c>
      <c r="F4" s="224" t="s">
        <v>216</v>
      </c>
      <c r="G4" s="225" t="s">
        <v>217</v>
      </c>
      <c r="H4" s="226" t="s">
        <v>218</v>
      </c>
      <c r="I4" s="226" t="s">
        <v>219</v>
      </c>
      <c r="J4" s="227"/>
      <c r="K4" s="228"/>
    </row>
    <row r="5" ht="18.75" customHeight="1">
      <c r="A5" s="229">
        <f>DATE(Tresorerie!$E$2,1,1)+J4</f>
        <v>46023</v>
      </c>
      <c r="B5" s="230" t="str">
        <f t="shared" ref="B5:B369" si="1">TEXT(A5,"DDD")</f>
        <v>jeu.</v>
      </c>
      <c r="C5" s="231">
        <f>SUMPRODUCT((Entrées[Date]=A5)*IF(ISNUMBER(Entrées[Montant TTC]),Entrées[Montant TTC],0))</f>
        <v>0</v>
      </c>
      <c r="D5" s="232">
        <f>SUMPRODUCT((Prévisions[0]=A5)*IF(Prévisions[E / S]="Entrée",IF(ISNUMBER(Prévisions[Coût TTC]),Prévisions[Coût TTC],0),0))</f>
        <v>0</v>
      </c>
      <c r="E5" s="233">
        <f>SUMPRODUCT((Sorties[Date]=A5)*IF(ISNUMBER(Sorties[Coût TTC]),Sorties[Coût TTC],0))</f>
        <v>0</v>
      </c>
      <c r="F5" s="232">
        <f>SUMPRODUCT((Prévisions[0]=A5)*IF(Prévisions[E / S]="Sortie",IF(ISNUMBER(Prévisions[Coût TTC]),Prévisions[Coût TTC],0),0))</f>
        <v>0</v>
      </c>
      <c r="G5" s="234">
        <f t="shared" ref="G5:G369" si="2">(C5+D5)-(E5+F5)</f>
        <v>0</v>
      </c>
      <c r="H5" s="235">
        <f>Tresorerie!$G$2+G5</f>
        <v>1673.84</v>
      </c>
      <c r="I5" s="236" t="str">
        <f t="shared" ref="I5:I369" si="3">IF(H5&lt;0,"⛔  DÉCOUVERT",IF(H5&lt;$C$3,"⚡  Solde faible","✅  OK"))</f>
        <v>✅  OK</v>
      </c>
      <c r="J5" s="237">
        <v>1.0</v>
      </c>
      <c r="K5" s="238"/>
    </row>
    <row r="6" ht="18.75" customHeight="1">
      <c r="A6" s="229">
        <f>DATE(Tresorerie!$E$2,1,1)+J5</f>
        <v>46024</v>
      </c>
      <c r="B6" s="230" t="str">
        <f t="shared" si="1"/>
        <v>ven.</v>
      </c>
      <c r="C6" s="231">
        <f>SUMPRODUCT((Entrées[Date]=A6)*IF(ISNUMBER(Entrées[Montant TTC]),Entrées[Montant TTC],0))</f>
        <v>0</v>
      </c>
      <c r="D6" s="232">
        <f>SUMPRODUCT((Prévisions[0]=A6)*IF(Prévisions[E / S]="Entrée",IF(ISNUMBER(Prévisions[Coût TTC]),Prévisions[Coût TTC],0),0))</f>
        <v>0</v>
      </c>
      <c r="E6" s="233">
        <f>SUMPRODUCT((Sorties[Date]=A6)*IF(ISNUMBER(Sorties[Coût TTC]),Sorties[Coût TTC],0))</f>
        <v>0</v>
      </c>
      <c r="F6" s="232">
        <f>SUMPRODUCT((Prévisions[0]=A6)*IF(Prévisions[E / S]="Sortie",IF(ISNUMBER(Prévisions[Coût TTC]),Prévisions[Coût TTC],0),0))</f>
        <v>0</v>
      </c>
      <c r="G6" s="234">
        <f t="shared" si="2"/>
        <v>0</v>
      </c>
      <c r="H6" s="235">
        <f>Tresorerie!$G$2+G6</f>
        <v>1673.84</v>
      </c>
      <c r="I6" s="236" t="str">
        <f t="shared" si="3"/>
        <v>✅  OK</v>
      </c>
      <c r="J6" s="237">
        <v>2.0</v>
      </c>
      <c r="K6" s="238"/>
    </row>
    <row r="7" ht="18.75" customHeight="1">
      <c r="A7" s="229">
        <f>DATE(Tresorerie!$E$2,1,1)+J6</f>
        <v>46025</v>
      </c>
      <c r="B7" s="239" t="str">
        <f t="shared" si="1"/>
        <v>sam.</v>
      </c>
      <c r="C7" s="231">
        <f>SUMPRODUCT((Entrées[Date]=A7)*IF(ISNUMBER(Entrées[Montant TTC]),Entrées[Montant TTC],0))</f>
        <v>0</v>
      </c>
      <c r="D7" s="232">
        <f>SUMPRODUCT((Prévisions[0]=A7)*IF(Prévisions[E / S]="Entrée",IF(ISNUMBER(Prévisions[Coût TTC]),Prévisions[Coût TTC],0),0))</f>
        <v>0</v>
      </c>
      <c r="E7" s="233">
        <f>SUMPRODUCT((Sorties[Date]=A7)*IF(ISNUMBER(Sorties[Coût TTC]),Sorties[Coût TTC],0))</f>
        <v>0</v>
      </c>
      <c r="F7" s="232">
        <f>SUMPRODUCT((Prévisions[0]=A7)*IF(Prévisions[E / S]="Sortie",IF(ISNUMBER(Prévisions[Coût TTC]),Prévisions[Coût TTC],0),0))</f>
        <v>0</v>
      </c>
      <c r="G7" s="234">
        <f t="shared" si="2"/>
        <v>0</v>
      </c>
      <c r="H7" s="235">
        <f>Tresorerie!$G$2+G7</f>
        <v>1673.84</v>
      </c>
      <c r="I7" s="236" t="str">
        <f t="shared" si="3"/>
        <v>✅  OK</v>
      </c>
      <c r="J7" s="237">
        <v>3.0</v>
      </c>
      <c r="K7" s="238"/>
    </row>
    <row r="8" ht="18.75" customHeight="1">
      <c r="A8" s="229">
        <f>DATE(Tresorerie!$E$2,1,1)+J7</f>
        <v>46026</v>
      </c>
      <c r="B8" s="239" t="str">
        <f t="shared" si="1"/>
        <v>dim.</v>
      </c>
      <c r="C8" s="231">
        <f>SUMPRODUCT((Entrées[Date]=A8)*IF(ISNUMBER(Entrées[Montant TTC]),Entrées[Montant TTC],0))</f>
        <v>0</v>
      </c>
      <c r="D8" s="232">
        <f>SUMPRODUCT((Prévisions[0]=A8)*IF(Prévisions[E / S]="Entrée",IF(ISNUMBER(Prévisions[Coût TTC]),Prévisions[Coût TTC],0),0))</f>
        <v>0</v>
      </c>
      <c r="E8" s="233">
        <f>SUMPRODUCT((Sorties[Date]=A8)*IF(ISNUMBER(Sorties[Coût TTC]),Sorties[Coût TTC],0))</f>
        <v>0</v>
      </c>
      <c r="F8" s="232">
        <f>SUMPRODUCT((Prévisions[0]=A8)*IF(Prévisions[E / S]="Sortie",IF(ISNUMBER(Prévisions[Coût TTC]),Prévisions[Coût TTC],0),0))</f>
        <v>0</v>
      </c>
      <c r="G8" s="234">
        <f t="shared" si="2"/>
        <v>0</v>
      </c>
      <c r="H8" s="235">
        <f t="shared" ref="H8:H369" si="4">H7+G8</f>
        <v>1673.84</v>
      </c>
      <c r="I8" s="236" t="str">
        <f t="shared" si="3"/>
        <v>✅  OK</v>
      </c>
      <c r="J8" s="237">
        <v>4.0</v>
      </c>
      <c r="K8" s="238"/>
    </row>
    <row r="9" ht="18.75" customHeight="1">
      <c r="A9" s="229">
        <f>DATE(Tresorerie!$E$2,1,1)+J8</f>
        <v>46027</v>
      </c>
      <c r="B9" s="240" t="str">
        <f t="shared" si="1"/>
        <v>lun.</v>
      </c>
      <c r="C9" s="231">
        <f>SUMPRODUCT((Entrées[Date]=A9)*IF(ISNUMBER(Entrées[Montant TTC]),Entrées[Montant TTC],0))</f>
        <v>0</v>
      </c>
      <c r="D9" s="232">
        <f>SUMPRODUCT((Prévisions[0]=A9)*IF(Prévisions[E / S]="Entrée",IF(ISNUMBER(Prévisions[Coût TTC]),Prévisions[Coût TTC],0),0))</f>
        <v>0</v>
      </c>
      <c r="E9" s="233">
        <f>SUMPRODUCT((Sorties[Date]=A9)*IF(ISNUMBER(Sorties[Coût TTC]),Sorties[Coût TTC],0))</f>
        <v>0</v>
      </c>
      <c r="F9" s="232">
        <f>SUMPRODUCT((Prévisions[0]=A9)*IF(Prévisions[E / S]="Sortie",IF(ISNUMBER(Prévisions[Coût TTC]),Prévisions[Coût TTC],0),0))</f>
        <v>0</v>
      </c>
      <c r="G9" s="234">
        <f t="shared" si="2"/>
        <v>0</v>
      </c>
      <c r="H9" s="235">
        <f t="shared" si="4"/>
        <v>1673.84</v>
      </c>
      <c r="I9" s="236" t="str">
        <f t="shared" si="3"/>
        <v>✅  OK</v>
      </c>
      <c r="J9" s="237">
        <v>5.0</v>
      </c>
      <c r="K9" s="238"/>
    </row>
    <row r="10" ht="18.75" customHeight="1">
      <c r="A10" s="229">
        <f>DATE(Tresorerie!$E$2,1,1)+J9</f>
        <v>46028</v>
      </c>
      <c r="B10" s="230" t="str">
        <f t="shared" si="1"/>
        <v>mar.</v>
      </c>
      <c r="C10" s="231">
        <f>SUMPRODUCT((Entrées[Date]=A10)*IF(ISNUMBER(Entrées[Montant TTC]),Entrées[Montant TTC],0))</f>
        <v>0</v>
      </c>
      <c r="D10" s="232">
        <f>SUMPRODUCT((Prévisions[0]=A10)*IF(Prévisions[E / S]="Entrée",IF(ISNUMBER(Prévisions[Coût TTC]),Prévisions[Coût TTC],0),0))</f>
        <v>0</v>
      </c>
      <c r="E10" s="233">
        <f>SUMPRODUCT((Sorties[Date]=A10)*IF(ISNUMBER(Sorties[Coût TTC]),Sorties[Coût TTC],0))</f>
        <v>0</v>
      </c>
      <c r="F10" s="232">
        <f>SUMPRODUCT((Prévisions[0]=A10)*IF(Prévisions[E / S]="Sortie",IF(ISNUMBER(Prévisions[Coût TTC]),Prévisions[Coût TTC],0),0))</f>
        <v>0</v>
      </c>
      <c r="G10" s="234">
        <f t="shared" si="2"/>
        <v>0</v>
      </c>
      <c r="H10" s="235">
        <f t="shared" si="4"/>
        <v>1673.84</v>
      </c>
      <c r="I10" s="236" t="str">
        <f t="shared" si="3"/>
        <v>✅  OK</v>
      </c>
      <c r="J10" s="237">
        <v>6.0</v>
      </c>
      <c r="K10" s="238"/>
    </row>
    <row r="11" ht="18.75" customHeight="1">
      <c r="A11" s="229">
        <f>DATE(Tresorerie!$E$2,1,1)+J10</f>
        <v>46029</v>
      </c>
      <c r="B11" s="230" t="str">
        <f t="shared" si="1"/>
        <v>mer.</v>
      </c>
      <c r="C11" s="231">
        <f>SUMPRODUCT((Entrées[Date]=A11)*IF(ISNUMBER(Entrées[Montant TTC]),Entrées[Montant TTC],0))</f>
        <v>0</v>
      </c>
      <c r="D11" s="232">
        <f>SUMPRODUCT((Prévisions[0]=A11)*IF(Prévisions[E / S]="Entrée",IF(ISNUMBER(Prévisions[Coût TTC]),Prévisions[Coût TTC],0),0))</f>
        <v>0</v>
      </c>
      <c r="E11" s="233">
        <f>SUMPRODUCT((Sorties[Date]=A11)*IF(ISNUMBER(Sorties[Coût TTC]),Sorties[Coût TTC],0))</f>
        <v>10.41</v>
      </c>
      <c r="F11" s="232">
        <f>SUMPRODUCT((Prévisions[0]=A11)*IF(Prévisions[E / S]="Sortie",IF(ISNUMBER(Prévisions[Coût TTC]),Prévisions[Coût TTC],0),0))</f>
        <v>0</v>
      </c>
      <c r="G11" s="234">
        <f t="shared" si="2"/>
        <v>-10.41</v>
      </c>
      <c r="H11" s="235">
        <f t="shared" si="4"/>
        <v>1663.43</v>
      </c>
      <c r="I11" s="236" t="str">
        <f t="shared" si="3"/>
        <v>✅  OK</v>
      </c>
      <c r="J11" s="237">
        <v>7.0</v>
      </c>
      <c r="K11" s="238"/>
    </row>
    <row r="12" ht="18.75" customHeight="1">
      <c r="A12" s="229">
        <f>DATE(Tresorerie!$E$2,1,1)+J11</f>
        <v>46030</v>
      </c>
      <c r="B12" s="230" t="str">
        <f t="shared" si="1"/>
        <v>jeu.</v>
      </c>
      <c r="C12" s="231">
        <f>SUMPRODUCT((Entrées[Date]=A12)*IF(ISNUMBER(Entrées[Montant TTC]),Entrées[Montant TTC],0))</f>
        <v>0</v>
      </c>
      <c r="D12" s="232">
        <f>SUMPRODUCT((Prévisions[0]=A12)*IF(Prévisions[E / S]="Entrée",IF(ISNUMBER(Prévisions[Coût TTC]),Prévisions[Coût TTC],0),0))</f>
        <v>0</v>
      </c>
      <c r="E12" s="233">
        <f>SUMPRODUCT((Sorties[Date]=A12)*IF(ISNUMBER(Sorties[Coût TTC]),Sorties[Coût TTC],0))</f>
        <v>0</v>
      </c>
      <c r="F12" s="232">
        <f>SUMPRODUCT((Prévisions[0]=A12)*IF(Prévisions[E / S]="Sortie",IF(ISNUMBER(Prévisions[Coût TTC]),Prévisions[Coût TTC],0),0))</f>
        <v>0</v>
      </c>
      <c r="G12" s="234">
        <f t="shared" si="2"/>
        <v>0</v>
      </c>
      <c r="H12" s="235">
        <f t="shared" si="4"/>
        <v>1663.43</v>
      </c>
      <c r="I12" s="236" t="str">
        <f t="shared" si="3"/>
        <v>✅  OK</v>
      </c>
      <c r="J12" s="237">
        <v>8.0</v>
      </c>
      <c r="K12" s="238"/>
    </row>
    <row r="13" ht="18.75" customHeight="1">
      <c r="A13" s="229">
        <f>DATE(Tresorerie!$E$2,1,1)+J12</f>
        <v>46031</v>
      </c>
      <c r="B13" s="230" t="str">
        <f t="shared" si="1"/>
        <v>ven.</v>
      </c>
      <c r="C13" s="231">
        <f>SUMPRODUCT((Entrées[Date]=A13)*IF(ISNUMBER(Entrées[Montant TTC]),Entrées[Montant TTC],0))</f>
        <v>0</v>
      </c>
      <c r="D13" s="232">
        <f>SUMPRODUCT((Prévisions[0]=A13)*IF(Prévisions[E / S]="Entrée",IF(ISNUMBER(Prévisions[Coût TTC]),Prévisions[Coût TTC],0),0))</f>
        <v>0</v>
      </c>
      <c r="E13" s="233">
        <f>SUMPRODUCT((Sorties[Date]=A13)*IF(ISNUMBER(Sorties[Coût TTC]),Sorties[Coût TTC],0))</f>
        <v>274.92</v>
      </c>
      <c r="F13" s="232">
        <f>SUMPRODUCT((Prévisions[0]=A13)*IF(Prévisions[E / S]="Sortie",IF(ISNUMBER(Prévisions[Coût TTC]),Prévisions[Coût TTC],0),0))</f>
        <v>0</v>
      </c>
      <c r="G13" s="234">
        <f t="shared" si="2"/>
        <v>-274.92</v>
      </c>
      <c r="H13" s="235">
        <f t="shared" si="4"/>
        <v>1388.51</v>
      </c>
      <c r="I13" s="236" t="str">
        <f t="shared" si="3"/>
        <v>✅  OK</v>
      </c>
      <c r="J13" s="237">
        <v>9.0</v>
      </c>
      <c r="K13" s="238"/>
    </row>
    <row r="14" ht="18.75" customHeight="1">
      <c r="A14" s="229">
        <f>DATE(Tresorerie!$E$2,1,1)+J13</f>
        <v>46032</v>
      </c>
      <c r="B14" s="239" t="str">
        <f t="shared" si="1"/>
        <v>sam.</v>
      </c>
      <c r="C14" s="231">
        <f>SUMPRODUCT((Entrées[Date]=A14)*IF(ISNUMBER(Entrées[Montant TTC]),Entrées[Montant TTC],0))</f>
        <v>0</v>
      </c>
      <c r="D14" s="232">
        <f>SUMPRODUCT((Prévisions[0]=A14)*IF(Prévisions[E / S]="Entrée",IF(ISNUMBER(Prévisions[Coût TTC]),Prévisions[Coût TTC],0),0))</f>
        <v>0</v>
      </c>
      <c r="E14" s="233">
        <f>SUMPRODUCT((Sorties[Date]=A14)*IF(ISNUMBER(Sorties[Coût TTC]),Sorties[Coût TTC],0))</f>
        <v>0</v>
      </c>
      <c r="F14" s="232">
        <f>SUMPRODUCT((Prévisions[0]=A14)*IF(Prévisions[E / S]="Sortie",IF(ISNUMBER(Prévisions[Coût TTC]),Prévisions[Coût TTC],0),0))</f>
        <v>0</v>
      </c>
      <c r="G14" s="234">
        <f t="shared" si="2"/>
        <v>0</v>
      </c>
      <c r="H14" s="235">
        <f t="shared" si="4"/>
        <v>1388.51</v>
      </c>
      <c r="I14" s="236" t="str">
        <f t="shared" si="3"/>
        <v>✅  OK</v>
      </c>
      <c r="J14" s="237">
        <v>10.0</v>
      </c>
      <c r="K14" s="238"/>
    </row>
    <row r="15" ht="18.75" customHeight="1">
      <c r="A15" s="229">
        <f>DATE(Tresorerie!$E$2,1,1)+J14</f>
        <v>46033</v>
      </c>
      <c r="B15" s="239" t="str">
        <f t="shared" si="1"/>
        <v>dim.</v>
      </c>
      <c r="C15" s="231">
        <f>SUMPRODUCT((Entrées[Date]=A15)*IF(ISNUMBER(Entrées[Montant TTC]),Entrées[Montant TTC],0))</f>
        <v>0</v>
      </c>
      <c r="D15" s="232">
        <f>SUMPRODUCT((Prévisions[0]=A15)*IF(Prévisions[E / S]="Entrée",IF(ISNUMBER(Prévisions[Coût TTC]),Prévisions[Coût TTC],0),0))</f>
        <v>0</v>
      </c>
      <c r="E15" s="233">
        <f>SUMPRODUCT((Sorties[Date]=A15)*IF(ISNUMBER(Sorties[Coût TTC]),Sorties[Coût TTC],0))</f>
        <v>0</v>
      </c>
      <c r="F15" s="232">
        <f>SUMPRODUCT((Prévisions[0]=A15)*IF(Prévisions[E / S]="Sortie",IF(ISNUMBER(Prévisions[Coût TTC]),Prévisions[Coût TTC],0),0))</f>
        <v>0</v>
      </c>
      <c r="G15" s="234">
        <f t="shared" si="2"/>
        <v>0</v>
      </c>
      <c r="H15" s="235">
        <f t="shared" si="4"/>
        <v>1388.51</v>
      </c>
      <c r="I15" s="236" t="str">
        <f t="shared" si="3"/>
        <v>✅  OK</v>
      </c>
      <c r="J15" s="237">
        <v>11.0</v>
      </c>
      <c r="K15" s="238"/>
    </row>
    <row r="16" ht="18.75" customHeight="1">
      <c r="A16" s="229">
        <f>DATE(Tresorerie!$E$2,1,1)+J15</f>
        <v>46034</v>
      </c>
      <c r="B16" s="240" t="str">
        <f t="shared" si="1"/>
        <v>lun.</v>
      </c>
      <c r="C16" s="231">
        <f>SUMPRODUCT((Entrées[Date]=A16)*IF(ISNUMBER(Entrées[Montant TTC]),Entrées[Montant TTC],0))</f>
        <v>0</v>
      </c>
      <c r="D16" s="232">
        <f>SUMPRODUCT((Prévisions[0]=A16)*IF(Prévisions[E / S]="Entrée",IF(ISNUMBER(Prévisions[Coût TTC]),Prévisions[Coût TTC],0),0))</f>
        <v>0</v>
      </c>
      <c r="E16" s="233">
        <f>SUMPRODUCT((Sorties[Date]=A16)*IF(ISNUMBER(Sorties[Coût TTC]),Sorties[Coût TTC],0))</f>
        <v>0</v>
      </c>
      <c r="F16" s="232">
        <f>SUMPRODUCT((Prévisions[0]=A16)*IF(Prévisions[E / S]="Sortie",IF(ISNUMBER(Prévisions[Coût TTC]),Prévisions[Coût TTC],0),0))</f>
        <v>0</v>
      </c>
      <c r="G16" s="234">
        <f t="shared" si="2"/>
        <v>0</v>
      </c>
      <c r="H16" s="235">
        <f t="shared" si="4"/>
        <v>1388.51</v>
      </c>
      <c r="I16" s="236" t="str">
        <f t="shared" si="3"/>
        <v>✅  OK</v>
      </c>
      <c r="J16" s="237">
        <v>12.0</v>
      </c>
      <c r="K16" s="238"/>
    </row>
    <row r="17" ht="18.75" customHeight="1">
      <c r="A17" s="229">
        <f>DATE(Tresorerie!$E$2,1,1)+J16</f>
        <v>46035</v>
      </c>
      <c r="B17" s="230" t="str">
        <f t="shared" si="1"/>
        <v>mar.</v>
      </c>
      <c r="C17" s="231">
        <f>SUMPRODUCT((Entrées[Date]=A17)*IF(ISNUMBER(Entrées[Montant TTC]),Entrées[Montant TTC],0))</f>
        <v>0</v>
      </c>
      <c r="D17" s="232">
        <f>SUMPRODUCT((Prévisions[0]=A17)*IF(Prévisions[E / S]="Entrée",IF(ISNUMBER(Prévisions[Coût TTC]),Prévisions[Coût TTC],0),0))</f>
        <v>0</v>
      </c>
      <c r="E17" s="233">
        <f>SUMPRODUCT((Sorties[Date]=A17)*IF(ISNUMBER(Sorties[Coût TTC]),Sorties[Coût TTC],0))</f>
        <v>0</v>
      </c>
      <c r="F17" s="232">
        <f>SUMPRODUCT((Prévisions[0]=A17)*IF(Prévisions[E / S]="Sortie",IF(ISNUMBER(Prévisions[Coût TTC]),Prévisions[Coût TTC],0),0))</f>
        <v>0</v>
      </c>
      <c r="G17" s="234">
        <f t="shared" si="2"/>
        <v>0</v>
      </c>
      <c r="H17" s="235">
        <f t="shared" si="4"/>
        <v>1388.51</v>
      </c>
      <c r="I17" s="236" t="str">
        <f t="shared" si="3"/>
        <v>✅  OK</v>
      </c>
      <c r="J17" s="237">
        <v>13.0</v>
      </c>
      <c r="K17" s="238"/>
    </row>
    <row r="18" ht="18.75" customHeight="1">
      <c r="A18" s="229">
        <f>DATE(Tresorerie!$E$2,1,1)+J17</f>
        <v>46036</v>
      </c>
      <c r="B18" s="230" t="str">
        <f t="shared" si="1"/>
        <v>mer.</v>
      </c>
      <c r="C18" s="231">
        <f>SUMPRODUCT((Entrées[Date]=A18)*IF(ISNUMBER(Entrées[Montant TTC]),Entrées[Montant TTC],0))</f>
        <v>0</v>
      </c>
      <c r="D18" s="232">
        <f>SUMPRODUCT((Prévisions[0]=A18)*IF(Prévisions[E / S]="Entrée",IF(ISNUMBER(Prévisions[Coût TTC]),Prévisions[Coût TTC],0),0))</f>
        <v>0</v>
      </c>
      <c r="E18" s="233">
        <f>SUMPRODUCT((Sorties[Date]=A18)*IF(ISNUMBER(Sorties[Coût TTC]),Sorties[Coût TTC],0))</f>
        <v>0</v>
      </c>
      <c r="F18" s="232">
        <f>SUMPRODUCT((Prévisions[0]=A18)*IF(Prévisions[E / S]="Sortie",IF(ISNUMBER(Prévisions[Coût TTC]),Prévisions[Coût TTC],0),0))</f>
        <v>0</v>
      </c>
      <c r="G18" s="234">
        <f t="shared" si="2"/>
        <v>0</v>
      </c>
      <c r="H18" s="235">
        <f t="shared" si="4"/>
        <v>1388.51</v>
      </c>
      <c r="I18" s="236" t="str">
        <f t="shared" si="3"/>
        <v>✅  OK</v>
      </c>
      <c r="J18" s="237">
        <v>14.0</v>
      </c>
      <c r="K18" s="238"/>
    </row>
    <row r="19" ht="18.75" customHeight="1">
      <c r="A19" s="229">
        <f>DATE(Tresorerie!$E$2,1,1)+J18</f>
        <v>46037</v>
      </c>
      <c r="B19" s="230" t="str">
        <f t="shared" si="1"/>
        <v>jeu.</v>
      </c>
      <c r="C19" s="231">
        <f>SUMPRODUCT((Entrées[Date]=A19)*IF(ISNUMBER(Entrées[Montant TTC]),Entrées[Montant TTC],0))</f>
        <v>2197.08</v>
      </c>
      <c r="D19" s="232">
        <f>SUMPRODUCT((Prévisions[0]=A19)*IF(Prévisions[E / S]="Entrée",IF(ISNUMBER(Prévisions[Coût TTC]),Prévisions[Coût TTC],0),0))</f>
        <v>0</v>
      </c>
      <c r="E19" s="233">
        <f>SUMPRODUCT((Sorties[Date]=A19)*IF(ISNUMBER(Sorties[Coût TTC]),Sorties[Coût TTC],0))</f>
        <v>2.99</v>
      </c>
      <c r="F19" s="232">
        <f>SUMPRODUCT((Prévisions[0]=A19)*IF(Prévisions[E / S]="Sortie",IF(ISNUMBER(Prévisions[Coût TTC]),Prévisions[Coût TTC],0),0))</f>
        <v>0</v>
      </c>
      <c r="G19" s="234">
        <f t="shared" si="2"/>
        <v>2194.09</v>
      </c>
      <c r="H19" s="235">
        <f t="shared" si="4"/>
        <v>3582.6</v>
      </c>
      <c r="I19" s="236" t="str">
        <f t="shared" si="3"/>
        <v>✅  OK</v>
      </c>
      <c r="J19" s="237">
        <v>15.0</v>
      </c>
      <c r="K19" s="238"/>
    </row>
    <row r="20" ht="18.75" customHeight="1">
      <c r="A20" s="229">
        <f>DATE(Tresorerie!$E$2,1,1)+J19</f>
        <v>46038</v>
      </c>
      <c r="B20" s="230" t="str">
        <f t="shared" si="1"/>
        <v>ven.</v>
      </c>
      <c r="C20" s="231">
        <f>SUMPRODUCT((Entrées[Date]=A20)*IF(ISNUMBER(Entrées[Montant TTC]),Entrées[Montant TTC],0))</f>
        <v>0</v>
      </c>
      <c r="D20" s="232">
        <f>SUMPRODUCT((Prévisions[0]=A20)*IF(Prévisions[E / S]="Entrée",IF(ISNUMBER(Prévisions[Coût TTC]),Prévisions[Coût TTC],0),0))</f>
        <v>0</v>
      </c>
      <c r="E20" s="233">
        <f>SUMPRODUCT((Sorties[Date]=A20)*IF(ISNUMBER(Sorties[Coût TTC]),Sorties[Coût TTC],0))</f>
        <v>156.85</v>
      </c>
      <c r="F20" s="232">
        <f>SUMPRODUCT((Prévisions[0]=A20)*IF(Prévisions[E / S]="Sortie",IF(ISNUMBER(Prévisions[Coût TTC]),Prévisions[Coût TTC],0),0))</f>
        <v>0</v>
      </c>
      <c r="G20" s="234">
        <f t="shared" si="2"/>
        <v>-156.85</v>
      </c>
      <c r="H20" s="235">
        <f t="shared" si="4"/>
        <v>3425.75</v>
      </c>
      <c r="I20" s="236" t="str">
        <f t="shared" si="3"/>
        <v>✅  OK</v>
      </c>
      <c r="J20" s="237">
        <v>16.0</v>
      </c>
      <c r="K20" s="238"/>
    </row>
    <row r="21" ht="18.75" customHeight="1">
      <c r="A21" s="229">
        <f>DATE(Tresorerie!$E$2,1,1)+J20</f>
        <v>46039</v>
      </c>
      <c r="B21" s="239" t="str">
        <f t="shared" si="1"/>
        <v>sam.</v>
      </c>
      <c r="C21" s="231">
        <f>SUMPRODUCT((Entrées[Date]=A21)*IF(ISNUMBER(Entrées[Montant TTC]),Entrées[Montant TTC],0))</f>
        <v>0</v>
      </c>
      <c r="D21" s="232">
        <f>SUMPRODUCT((Prévisions[0]=A21)*IF(Prévisions[E / S]="Entrée",IF(ISNUMBER(Prévisions[Coût TTC]),Prévisions[Coût TTC],0),0))</f>
        <v>0</v>
      </c>
      <c r="E21" s="233">
        <f>SUMPRODUCT((Sorties[Date]=A21)*IF(ISNUMBER(Sorties[Coût TTC]),Sorties[Coût TTC],0))</f>
        <v>95.11</v>
      </c>
      <c r="F21" s="232">
        <f>SUMPRODUCT((Prévisions[0]=A21)*IF(Prévisions[E / S]="Sortie",IF(ISNUMBER(Prévisions[Coût TTC]),Prévisions[Coût TTC],0),0))</f>
        <v>0</v>
      </c>
      <c r="G21" s="234">
        <f t="shared" si="2"/>
        <v>-95.11</v>
      </c>
      <c r="H21" s="235">
        <f t="shared" si="4"/>
        <v>3330.64</v>
      </c>
      <c r="I21" s="236" t="str">
        <f t="shared" si="3"/>
        <v>✅  OK</v>
      </c>
      <c r="J21" s="237">
        <v>17.0</v>
      </c>
      <c r="K21" s="238"/>
    </row>
    <row r="22" ht="18.75" customHeight="1">
      <c r="A22" s="229">
        <f>DATE(Tresorerie!$E$2,1,1)+J21</f>
        <v>46040</v>
      </c>
      <c r="B22" s="239" t="str">
        <f t="shared" si="1"/>
        <v>dim.</v>
      </c>
      <c r="C22" s="231">
        <f>SUMPRODUCT((Entrées[Date]=A22)*IF(ISNUMBER(Entrées[Montant TTC]),Entrées[Montant TTC],0))</f>
        <v>0</v>
      </c>
      <c r="D22" s="232">
        <f>SUMPRODUCT((Prévisions[0]=A22)*IF(Prévisions[E / S]="Entrée",IF(ISNUMBER(Prévisions[Coût TTC]),Prévisions[Coût TTC],0),0))</f>
        <v>0</v>
      </c>
      <c r="E22" s="233">
        <f>SUMPRODUCT((Sorties[Date]=A22)*IF(ISNUMBER(Sorties[Coût TTC]),Sorties[Coût TTC],0))</f>
        <v>0</v>
      </c>
      <c r="F22" s="232">
        <f>SUMPRODUCT((Prévisions[0]=A22)*IF(Prévisions[E / S]="Sortie",IF(ISNUMBER(Prévisions[Coût TTC]),Prévisions[Coût TTC],0),0))</f>
        <v>0</v>
      </c>
      <c r="G22" s="234">
        <f t="shared" si="2"/>
        <v>0</v>
      </c>
      <c r="H22" s="235">
        <f t="shared" si="4"/>
        <v>3330.64</v>
      </c>
      <c r="I22" s="236" t="str">
        <f t="shared" si="3"/>
        <v>✅  OK</v>
      </c>
      <c r="J22" s="237">
        <v>18.0</v>
      </c>
      <c r="K22" s="238"/>
    </row>
    <row r="23" ht="18.75" customHeight="1">
      <c r="A23" s="229">
        <f>DATE(Tresorerie!$E$2,1,1)+J22</f>
        <v>46041</v>
      </c>
      <c r="B23" s="240" t="str">
        <f t="shared" si="1"/>
        <v>lun.</v>
      </c>
      <c r="C23" s="231">
        <f>SUMPRODUCT((Entrées[Date]=A23)*IF(ISNUMBER(Entrées[Montant TTC]),Entrées[Montant TTC],0))</f>
        <v>0</v>
      </c>
      <c r="D23" s="232">
        <f>SUMPRODUCT((Prévisions[0]=A23)*IF(Prévisions[E / S]="Entrée",IF(ISNUMBER(Prévisions[Coût TTC]),Prévisions[Coût TTC],0),0))</f>
        <v>0</v>
      </c>
      <c r="E23" s="233">
        <f>SUMPRODUCT((Sorties[Date]=A23)*IF(ISNUMBER(Sorties[Coût TTC]),Sorties[Coût TTC],0))</f>
        <v>844.99</v>
      </c>
      <c r="F23" s="232">
        <f>SUMPRODUCT((Prévisions[0]=A23)*IF(Prévisions[E / S]="Sortie",IF(ISNUMBER(Prévisions[Coût TTC]),Prévisions[Coût TTC],0),0))</f>
        <v>0</v>
      </c>
      <c r="G23" s="234">
        <f t="shared" si="2"/>
        <v>-844.99</v>
      </c>
      <c r="H23" s="235">
        <f t="shared" si="4"/>
        <v>2485.65</v>
      </c>
      <c r="I23" s="236" t="str">
        <f t="shared" si="3"/>
        <v>✅  OK</v>
      </c>
      <c r="J23" s="237">
        <v>19.0</v>
      </c>
      <c r="K23" s="238"/>
    </row>
    <row r="24" ht="18.75" customHeight="1">
      <c r="A24" s="229">
        <f>DATE(Tresorerie!$E$2,1,1)+J23</f>
        <v>46042</v>
      </c>
      <c r="B24" s="230" t="str">
        <f t="shared" si="1"/>
        <v>mar.</v>
      </c>
      <c r="C24" s="231">
        <f>SUMPRODUCT((Entrées[Date]=A24)*IF(ISNUMBER(Entrées[Montant TTC]),Entrées[Montant TTC],0))</f>
        <v>0</v>
      </c>
      <c r="D24" s="232">
        <f>SUMPRODUCT((Prévisions[0]=A24)*IF(Prévisions[E / S]="Entrée",IF(ISNUMBER(Prévisions[Coût TTC]),Prévisions[Coût TTC],0),0))</f>
        <v>0</v>
      </c>
      <c r="E24" s="233">
        <f>SUMPRODUCT((Sorties[Date]=A24)*IF(ISNUMBER(Sorties[Coût TTC]),Sorties[Coût TTC],0))</f>
        <v>0</v>
      </c>
      <c r="F24" s="232">
        <f>SUMPRODUCT((Prévisions[0]=A24)*IF(Prévisions[E / S]="Sortie",IF(ISNUMBER(Prévisions[Coût TTC]),Prévisions[Coût TTC],0),0))</f>
        <v>0</v>
      </c>
      <c r="G24" s="234">
        <f t="shared" si="2"/>
        <v>0</v>
      </c>
      <c r="H24" s="235">
        <f t="shared" si="4"/>
        <v>2485.65</v>
      </c>
      <c r="I24" s="236" t="str">
        <f t="shared" si="3"/>
        <v>✅  OK</v>
      </c>
      <c r="J24" s="237">
        <v>20.0</v>
      </c>
      <c r="K24" s="238"/>
    </row>
    <row r="25" ht="18.75" customHeight="1">
      <c r="A25" s="229">
        <f>DATE(Tresorerie!$E$2,1,1)+J24</f>
        <v>46043</v>
      </c>
      <c r="B25" s="230" t="str">
        <f t="shared" si="1"/>
        <v>mer.</v>
      </c>
      <c r="C25" s="231">
        <f>SUMPRODUCT((Entrées[Date]=A25)*IF(ISNUMBER(Entrées[Montant TTC]),Entrées[Montant TTC],0))</f>
        <v>0</v>
      </c>
      <c r="D25" s="232">
        <f>SUMPRODUCT((Prévisions[0]=A25)*IF(Prévisions[E / S]="Entrée",IF(ISNUMBER(Prévisions[Coût TTC]),Prévisions[Coût TTC],0),0))</f>
        <v>0</v>
      </c>
      <c r="E25" s="233">
        <f>SUMPRODUCT((Sorties[Date]=A25)*IF(ISNUMBER(Sorties[Coût TTC]),Sorties[Coût TTC],0))</f>
        <v>0</v>
      </c>
      <c r="F25" s="232">
        <f>SUMPRODUCT((Prévisions[0]=A25)*IF(Prévisions[E / S]="Sortie",IF(ISNUMBER(Prévisions[Coût TTC]),Prévisions[Coût TTC],0),0))</f>
        <v>0</v>
      </c>
      <c r="G25" s="234">
        <f t="shared" si="2"/>
        <v>0</v>
      </c>
      <c r="H25" s="235">
        <f t="shared" si="4"/>
        <v>2485.65</v>
      </c>
      <c r="I25" s="236" t="str">
        <f t="shared" si="3"/>
        <v>✅  OK</v>
      </c>
      <c r="J25" s="237">
        <v>21.0</v>
      </c>
      <c r="K25" s="238"/>
    </row>
    <row r="26" ht="18.75" customHeight="1">
      <c r="A26" s="229">
        <f>DATE(Tresorerie!$E$2,1,1)+J25</f>
        <v>46044</v>
      </c>
      <c r="B26" s="230" t="str">
        <f t="shared" si="1"/>
        <v>jeu.</v>
      </c>
      <c r="C26" s="231">
        <f>SUMPRODUCT((Entrées[Date]=A26)*IF(ISNUMBER(Entrées[Montant TTC]),Entrées[Montant TTC],0))</f>
        <v>0</v>
      </c>
      <c r="D26" s="232">
        <f>SUMPRODUCT((Prévisions[0]=A26)*IF(Prévisions[E / S]="Entrée",IF(ISNUMBER(Prévisions[Coût TTC]),Prévisions[Coût TTC],0),0))</f>
        <v>0</v>
      </c>
      <c r="E26" s="233">
        <f>SUMPRODUCT((Sorties[Date]=A26)*IF(ISNUMBER(Sorties[Coût TTC]),Sorties[Coût TTC],0))</f>
        <v>132.07</v>
      </c>
      <c r="F26" s="232">
        <f>SUMPRODUCT((Prévisions[0]=A26)*IF(Prévisions[E / S]="Sortie",IF(ISNUMBER(Prévisions[Coût TTC]),Prévisions[Coût TTC],0),0))</f>
        <v>0</v>
      </c>
      <c r="G26" s="234">
        <f t="shared" si="2"/>
        <v>-132.07</v>
      </c>
      <c r="H26" s="235">
        <f t="shared" si="4"/>
        <v>2353.58</v>
      </c>
      <c r="I26" s="236" t="str">
        <f t="shared" si="3"/>
        <v>✅  OK</v>
      </c>
      <c r="J26" s="237">
        <v>22.0</v>
      </c>
      <c r="K26" s="238"/>
    </row>
    <row r="27" ht="18.75" customHeight="1">
      <c r="A27" s="229">
        <f>DATE(Tresorerie!$E$2,1,1)+J26</f>
        <v>46045</v>
      </c>
      <c r="B27" s="230" t="str">
        <f t="shared" si="1"/>
        <v>ven.</v>
      </c>
      <c r="C27" s="231">
        <f>SUMPRODUCT((Entrées[Date]=A27)*IF(ISNUMBER(Entrées[Montant TTC]),Entrées[Montant TTC],0))</f>
        <v>0</v>
      </c>
      <c r="D27" s="232">
        <f>SUMPRODUCT((Prévisions[0]=A27)*IF(Prévisions[E / S]="Entrée",IF(ISNUMBER(Prévisions[Coût TTC]),Prévisions[Coût TTC],0),0))</f>
        <v>0</v>
      </c>
      <c r="E27" s="233">
        <f>SUMPRODUCT((Sorties[Date]=A27)*IF(ISNUMBER(Sorties[Coût TTC]),Sorties[Coût TTC],0))</f>
        <v>734.4</v>
      </c>
      <c r="F27" s="232">
        <f>SUMPRODUCT((Prévisions[0]=A27)*IF(Prévisions[E / S]="Sortie",IF(ISNUMBER(Prévisions[Coût TTC]),Prévisions[Coût TTC],0),0))</f>
        <v>0</v>
      </c>
      <c r="G27" s="234">
        <f t="shared" si="2"/>
        <v>-734.4</v>
      </c>
      <c r="H27" s="235">
        <f t="shared" si="4"/>
        <v>1619.18</v>
      </c>
      <c r="I27" s="236" t="str">
        <f t="shared" si="3"/>
        <v>✅  OK</v>
      </c>
      <c r="J27" s="237">
        <v>23.0</v>
      </c>
      <c r="K27" s="238"/>
    </row>
    <row r="28" ht="18.75" customHeight="1">
      <c r="A28" s="229">
        <f>DATE(Tresorerie!$E$2,1,1)+J27</f>
        <v>46046</v>
      </c>
      <c r="B28" s="239" t="str">
        <f t="shared" si="1"/>
        <v>sam.</v>
      </c>
      <c r="C28" s="231">
        <f>SUMPRODUCT((Entrées[Date]=A28)*IF(ISNUMBER(Entrées[Montant TTC]),Entrées[Montant TTC],0))</f>
        <v>0</v>
      </c>
      <c r="D28" s="232">
        <f>SUMPRODUCT((Prévisions[0]=A28)*IF(Prévisions[E / S]="Entrée",IF(ISNUMBER(Prévisions[Coût TTC]),Prévisions[Coût TTC],0),0))</f>
        <v>0</v>
      </c>
      <c r="E28" s="233">
        <f>SUMPRODUCT((Sorties[Date]=A28)*IF(ISNUMBER(Sorties[Coût TTC]),Sorties[Coût TTC],0))</f>
        <v>1.8</v>
      </c>
      <c r="F28" s="232">
        <f>SUMPRODUCT((Prévisions[0]=A28)*IF(Prévisions[E / S]="Sortie",IF(ISNUMBER(Prévisions[Coût TTC]),Prévisions[Coût TTC],0),0))</f>
        <v>0</v>
      </c>
      <c r="G28" s="234">
        <f t="shared" si="2"/>
        <v>-1.8</v>
      </c>
      <c r="H28" s="235">
        <f t="shared" si="4"/>
        <v>1617.38</v>
      </c>
      <c r="I28" s="236" t="str">
        <f t="shared" si="3"/>
        <v>✅  OK</v>
      </c>
      <c r="J28" s="237">
        <v>24.0</v>
      </c>
      <c r="K28" s="238"/>
    </row>
    <row r="29" ht="18.75" customHeight="1">
      <c r="A29" s="229">
        <f>DATE(Tresorerie!$E$2,1,1)+J28</f>
        <v>46047</v>
      </c>
      <c r="B29" s="239" t="str">
        <f t="shared" si="1"/>
        <v>dim.</v>
      </c>
      <c r="C29" s="231">
        <f>SUMPRODUCT((Entrées[Date]=A29)*IF(ISNUMBER(Entrées[Montant TTC]),Entrées[Montant TTC],0))</f>
        <v>0</v>
      </c>
      <c r="D29" s="232">
        <f>SUMPRODUCT((Prévisions[0]=A29)*IF(Prévisions[E / S]="Entrée",IF(ISNUMBER(Prévisions[Coût TTC]),Prévisions[Coût TTC],0),0))</f>
        <v>0</v>
      </c>
      <c r="E29" s="233">
        <f>SUMPRODUCT((Sorties[Date]=A29)*IF(ISNUMBER(Sorties[Coût TTC]),Sorties[Coût TTC],0))</f>
        <v>1362.28</v>
      </c>
      <c r="F29" s="232">
        <f>SUMPRODUCT((Prévisions[0]=A29)*IF(Prévisions[E / S]="Sortie",IF(ISNUMBER(Prévisions[Coût TTC]),Prévisions[Coût TTC],0),0))</f>
        <v>0</v>
      </c>
      <c r="G29" s="234">
        <f t="shared" si="2"/>
        <v>-1362.28</v>
      </c>
      <c r="H29" s="235">
        <f t="shared" si="4"/>
        <v>255.1</v>
      </c>
      <c r="I29" s="236" t="str">
        <f t="shared" si="3"/>
        <v>⚡  Solde faible</v>
      </c>
      <c r="J29" s="237">
        <v>25.0</v>
      </c>
      <c r="K29" s="238"/>
    </row>
    <row r="30" ht="18.75" customHeight="1">
      <c r="A30" s="229">
        <f>DATE(Tresorerie!$E$2,1,1)+J29</f>
        <v>46048</v>
      </c>
      <c r="B30" s="240" t="str">
        <f t="shared" si="1"/>
        <v>lun.</v>
      </c>
      <c r="C30" s="231">
        <f>SUMPRODUCT((Entrées[Date]=A30)*IF(ISNUMBER(Entrées[Montant TTC]),Entrées[Montant TTC],0))</f>
        <v>0</v>
      </c>
      <c r="D30" s="232">
        <f>SUMPRODUCT((Prévisions[0]=A30)*IF(Prévisions[E / S]="Entrée",IF(ISNUMBER(Prévisions[Coût TTC]),Prévisions[Coût TTC],0),0))</f>
        <v>0</v>
      </c>
      <c r="E30" s="233">
        <f>SUMPRODUCT((Sorties[Date]=A30)*IF(ISNUMBER(Sorties[Coût TTC]),Sorties[Coût TTC],0))</f>
        <v>78</v>
      </c>
      <c r="F30" s="232">
        <f>SUMPRODUCT((Prévisions[0]=A30)*IF(Prévisions[E / S]="Sortie",IF(ISNUMBER(Prévisions[Coût TTC]),Prévisions[Coût TTC],0),0))</f>
        <v>0</v>
      </c>
      <c r="G30" s="234">
        <f t="shared" si="2"/>
        <v>-78</v>
      </c>
      <c r="H30" s="235">
        <f t="shared" si="4"/>
        <v>177.1</v>
      </c>
      <c r="I30" s="236" t="str">
        <f t="shared" si="3"/>
        <v>⚡  Solde faible</v>
      </c>
      <c r="J30" s="237">
        <v>26.0</v>
      </c>
      <c r="K30" s="238"/>
    </row>
    <row r="31" ht="18.75" customHeight="1">
      <c r="A31" s="229">
        <f>DATE(Tresorerie!$E$2,1,1)+J30</f>
        <v>46049</v>
      </c>
      <c r="B31" s="230" t="str">
        <f t="shared" si="1"/>
        <v>mar.</v>
      </c>
      <c r="C31" s="231">
        <f>SUMPRODUCT((Entrées[Date]=A31)*IF(ISNUMBER(Entrées[Montant TTC]),Entrées[Montant TTC],0))</f>
        <v>0</v>
      </c>
      <c r="D31" s="232">
        <f>SUMPRODUCT((Prévisions[0]=A31)*IF(Prévisions[E / S]="Entrée",IF(ISNUMBER(Prévisions[Coût TTC]),Prévisions[Coût TTC],0),0))</f>
        <v>0</v>
      </c>
      <c r="E31" s="233">
        <f>SUMPRODUCT((Sorties[Date]=A31)*IF(ISNUMBER(Sorties[Coût TTC]),Sorties[Coût TTC],0))</f>
        <v>0</v>
      </c>
      <c r="F31" s="232">
        <f>SUMPRODUCT((Prévisions[0]=A31)*IF(Prévisions[E / S]="Sortie",IF(ISNUMBER(Prévisions[Coût TTC]),Prévisions[Coût TTC],0),0))</f>
        <v>0</v>
      </c>
      <c r="G31" s="234">
        <f t="shared" si="2"/>
        <v>0</v>
      </c>
      <c r="H31" s="235">
        <f t="shared" si="4"/>
        <v>177.1</v>
      </c>
      <c r="I31" s="236" t="str">
        <f t="shared" si="3"/>
        <v>⚡  Solde faible</v>
      </c>
      <c r="J31" s="237">
        <v>27.0</v>
      </c>
      <c r="K31" s="238"/>
    </row>
    <row r="32" ht="18.75" customHeight="1">
      <c r="A32" s="229">
        <f>DATE(Tresorerie!$E$2,1,1)+J31</f>
        <v>46050</v>
      </c>
      <c r="B32" s="230" t="str">
        <f t="shared" si="1"/>
        <v>mer.</v>
      </c>
      <c r="C32" s="231">
        <f>SUMPRODUCT((Entrées[Date]=A32)*IF(ISNUMBER(Entrées[Montant TTC]),Entrées[Montant TTC],0))</f>
        <v>0</v>
      </c>
      <c r="D32" s="232">
        <f>SUMPRODUCT((Prévisions[0]=A32)*IF(Prévisions[E / S]="Entrée",IF(ISNUMBER(Prévisions[Coût TTC]),Prévisions[Coût TTC],0),0))</f>
        <v>0</v>
      </c>
      <c r="E32" s="233">
        <f>SUMPRODUCT((Sorties[Date]=A32)*IF(ISNUMBER(Sorties[Coût TTC]),Sorties[Coût TTC],0))</f>
        <v>0</v>
      </c>
      <c r="F32" s="232">
        <f>SUMPRODUCT((Prévisions[0]=A32)*IF(Prévisions[E / S]="Sortie",IF(ISNUMBER(Prévisions[Coût TTC]),Prévisions[Coût TTC],0),0))</f>
        <v>0</v>
      </c>
      <c r="G32" s="234">
        <f t="shared" si="2"/>
        <v>0</v>
      </c>
      <c r="H32" s="235">
        <f t="shared" si="4"/>
        <v>177.1</v>
      </c>
      <c r="I32" s="236" t="str">
        <f t="shared" si="3"/>
        <v>⚡  Solde faible</v>
      </c>
      <c r="J32" s="237">
        <v>28.0</v>
      </c>
      <c r="K32" s="238"/>
    </row>
    <row r="33" ht="18.75" customHeight="1">
      <c r="A33" s="229">
        <f>DATE(Tresorerie!$E$2,1,1)+J32</f>
        <v>46051</v>
      </c>
      <c r="B33" s="230" t="str">
        <f t="shared" si="1"/>
        <v>jeu.</v>
      </c>
      <c r="C33" s="231">
        <f>SUMPRODUCT((Entrées[Date]=A33)*IF(ISNUMBER(Entrées[Montant TTC]),Entrées[Montant TTC],0))</f>
        <v>0</v>
      </c>
      <c r="D33" s="232">
        <f>SUMPRODUCT((Prévisions[0]=A33)*IF(Prévisions[E / S]="Entrée",IF(ISNUMBER(Prévisions[Coût TTC]),Prévisions[Coût TTC],0),0))</f>
        <v>0</v>
      </c>
      <c r="E33" s="233">
        <f>SUMPRODUCT((Sorties[Date]=A33)*IF(ISNUMBER(Sorties[Coût TTC]),Sorties[Coût TTC],0))</f>
        <v>0</v>
      </c>
      <c r="F33" s="232">
        <f>SUMPRODUCT((Prévisions[0]=A33)*IF(Prévisions[E / S]="Sortie",IF(ISNUMBER(Prévisions[Coût TTC]),Prévisions[Coût TTC],0),0))</f>
        <v>0</v>
      </c>
      <c r="G33" s="234">
        <f t="shared" si="2"/>
        <v>0</v>
      </c>
      <c r="H33" s="235">
        <f t="shared" si="4"/>
        <v>177.1</v>
      </c>
      <c r="I33" s="236" t="str">
        <f t="shared" si="3"/>
        <v>⚡  Solde faible</v>
      </c>
      <c r="J33" s="237">
        <v>29.0</v>
      </c>
      <c r="K33" s="238"/>
    </row>
    <row r="34" ht="18.75" customHeight="1">
      <c r="A34" s="229">
        <f>DATE(Tresorerie!$E$2,1,1)+J33</f>
        <v>46052</v>
      </c>
      <c r="B34" s="230" t="str">
        <f t="shared" si="1"/>
        <v>ven.</v>
      </c>
      <c r="C34" s="231">
        <f>SUMPRODUCT((Entrées[Date]=A34)*IF(ISNUMBER(Entrées[Montant TTC]),Entrées[Montant TTC],0))</f>
        <v>0</v>
      </c>
      <c r="D34" s="232">
        <f>SUMPRODUCT((Prévisions[0]=A34)*IF(Prévisions[E / S]="Entrée",IF(ISNUMBER(Prévisions[Coût TTC]),Prévisions[Coût TTC],0),0))</f>
        <v>0</v>
      </c>
      <c r="E34" s="233">
        <f>SUMPRODUCT((Sorties[Date]=A34)*IF(ISNUMBER(Sorties[Coût TTC]),Sorties[Coût TTC],0))</f>
        <v>0</v>
      </c>
      <c r="F34" s="232">
        <f>SUMPRODUCT((Prévisions[0]=A34)*IF(Prévisions[E / S]="Sortie",IF(ISNUMBER(Prévisions[Coût TTC]),Prévisions[Coût TTC],0),0))</f>
        <v>0</v>
      </c>
      <c r="G34" s="234">
        <f t="shared" si="2"/>
        <v>0</v>
      </c>
      <c r="H34" s="235">
        <f t="shared" si="4"/>
        <v>177.1</v>
      </c>
      <c r="I34" s="236" t="str">
        <f t="shared" si="3"/>
        <v>⚡  Solde faible</v>
      </c>
      <c r="J34" s="237">
        <v>30.0</v>
      </c>
      <c r="K34" s="238"/>
    </row>
    <row r="35" ht="18.75" customHeight="1">
      <c r="A35" s="229">
        <f>DATE(Tresorerie!$E$2,1,1)+J34</f>
        <v>46053</v>
      </c>
      <c r="B35" s="239" t="str">
        <f t="shared" si="1"/>
        <v>sam.</v>
      </c>
      <c r="C35" s="231">
        <f>SUMPRODUCT((Entrées[Date]=A35)*IF(ISNUMBER(Entrées[Montant TTC]),Entrées[Montant TTC],0))</f>
        <v>0</v>
      </c>
      <c r="D35" s="232">
        <f>SUMPRODUCT((Prévisions[0]=A35)*IF(Prévisions[E / S]="Entrée",IF(ISNUMBER(Prévisions[Coût TTC]),Prévisions[Coût TTC],0),0))</f>
        <v>0</v>
      </c>
      <c r="E35" s="233">
        <f>SUMPRODUCT((Sorties[Date]=A35)*IF(ISNUMBER(Sorties[Coût TTC]),Sorties[Coût TTC],0))</f>
        <v>0</v>
      </c>
      <c r="F35" s="232">
        <f>SUMPRODUCT((Prévisions[0]=A35)*IF(Prévisions[E / S]="Sortie",IF(ISNUMBER(Prévisions[Coût TTC]),Prévisions[Coût TTC],0),0))</f>
        <v>0</v>
      </c>
      <c r="G35" s="234">
        <f t="shared" si="2"/>
        <v>0</v>
      </c>
      <c r="H35" s="235">
        <f t="shared" si="4"/>
        <v>177.1</v>
      </c>
      <c r="I35" s="236" t="str">
        <f t="shared" si="3"/>
        <v>⚡  Solde faible</v>
      </c>
      <c r="J35" s="237">
        <v>31.0</v>
      </c>
      <c r="K35" s="238"/>
    </row>
    <row r="36" ht="18.75" customHeight="1">
      <c r="A36" s="229">
        <f>DATE(Tresorerie!$E$2,1,1)+J35</f>
        <v>46054</v>
      </c>
      <c r="B36" s="239" t="str">
        <f t="shared" si="1"/>
        <v>dim.</v>
      </c>
      <c r="C36" s="231">
        <f>SUMPRODUCT((Entrées[Date]=A36)*IF(ISNUMBER(Entrées[Montant TTC]),Entrées[Montant TTC],0))</f>
        <v>0</v>
      </c>
      <c r="D36" s="232">
        <f>SUMPRODUCT((Prévisions[0]=A36)*IF(Prévisions[E / S]="Entrée",IF(ISNUMBER(Prévisions[Coût TTC]),Prévisions[Coût TTC],0),0))</f>
        <v>0</v>
      </c>
      <c r="E36" s="233">
        <f>SUMPRODUCT((Sorties[Date]=A36)*IF(ISNUMBER(Sorties[Coût TTC]),Sorties[Coût TTC],0))</f>
        <v>0</v>
      </c>
      <c r="F36" s="232">
        <f>SUMPRODUCT((Prévisions[0]=A36)*IF(Prévisions[E / S]="Sortie",IF(ISNUMBER(Prévisions[Coût TTC]),Prévisions[Coût TTC],0),0))</f>
        <v>0</v>
      </c>
      <c r="G36" s="234">
        <f t="shared" si="2"/>
        <v>0</v>
      </c>
      <c r="H36" s="235">
        <f t="shared" si="4"/>
        <v>177.1</v>
      </c>
      <c r="I36" s="236" t="str">
        <f t="shared" si="3"/>
        <v>⚡  Solde faible</v>
      </c>
      <c r="J36" s="237">
        <v>32.0</v>
      </c>
      <c r="K36" s="238"/>
    </row>
    <row r="37" ht="18.75" customHeight="1">
      <c r="A37" s="229">
        <f>DATE(Tresorerie!$E$2,1,1)+J36</f>
        <v>46055</v>
      </c>
      <c r="B37" s="240" t="str">
        <f t="shared" si="1"/>
        <v>lun.</v>
      </c>
      <c r="C37" s="231">
        <f>SUMPRODUCT((Entrées[Date]=A37)*IF(ISNUMBER(Entrées[Montant TTC]),Entrées[Montant TTC],0))</f>
        <v>0</v>
      </c>
      <c r="D37" s="232">
        <f>SUMPRODUCT((Prévisions[0]=A37)*IF(Prévisions[E / S]="Entrée",IF(ISNUMBER(Prévisions[Coût TTC]),Prévisions[Coût TTC],0),0))</f>
        <v>0</v>
      </c>
      <c r="E37" s="233">
        <f>SUMPRODUCT((Sorties[Date]=A37)*IF(ISNUMBER(Sorties[Coût TTC]),Sorties[Coût TTC],0))</f>
        <v>0</v>
      </c>
      <c r="F37" s="232">
        <f>SUMPRODUCT((Prévisions[0]=A37)*IF(Prévisions[E / S]="Sortie",IF(ISNUMBER(Prévisions[Coût TTC]),Prévisions[Coût TTC],0),0))</f>
        <v>0</v>
      </c>
      <c r="G37" s="234">
        <f t="shared" si="2"/>
        <v>0</v>
      </c>
      <c r="H37" s="235">
        <f t="shared" si="4"/>
        <v>177.1</v>
      </c>
      <c r="I37" s="236" t="str">
        <f t="shared" si="3"/>
        <v>⚡  Solde faible</v>
      </c>
      <c r="J37" s="237">
        <v>33.0</v>
      </c>
      <c r="K37" s="238"/>
    </row>
    <row r="38" ht="18.75" customHeight="1">
      <c r="A38" s="229">
        <f>DATE(Tresorerie!$E$2,1,1)+J37</f>
        <v>46056</v>
      </c>
      <c r="B38" s="230" t="str">
        <f t="shared" si="1"/>
        <v>mar.</v>
      </c>
      <c r="C38" s="231">
        <f>SUMPRODUCT((Entrées[Date]=A38)*IF(ISNUMBER(Entrées[Montant TTC]),Entrées[Montant TTC],0))</f>
        <v>2387.08</v>
      </c>
      <c r="D38" s="232">
        <f>SUMPRODUCT((Prévisions[0]=A38)*IF(Prévisions[E / S]="Entrée",IF(ISNUMBER(Prévisions[Coût TTC]),Prévisions[Coût TTC],0),0))</f>
        <v>0</v>
      </c>
      <c r="E38" s="233">
        <f>SUMPRODUCT((Sorties[Date]=A38)*IF(ISNUMBER(Sorties[Coût TTC]),Sorties[Coût TTC],0))</f>
        <v>0</v>
      </c>
      <c r="F38" s="232">
        <f>SUMPRODUCT((Prévisions[0]=A38)*IF(Prévisions[E / S]="Sortie",IF(ISNUMBER(Prévisions[Coût TTC]),Prévisions[Coût TTC],0),0))</f>
        <v>0</v>
      </c>
      <c r="G38" s="234">
        <f t="shared" si="2"/>
        <v>2387.08</v>
      </c>
      <c r="H38" s="235">
        <f t="shared" si="4"/>
        <v>2564.18</v>
      </c>
      <c r="I38" s="236" t="str">
        <f t="shared" si="3"/>
        <v>✅  OK</v>
      </c>
      <c r="J38" s="237">
        <v>34.0</v>
      </c>
      <c r="K38" s="238"/>
    </row>
    <row r="39" ht="18.75" customHeight="1">
      <c r="A39" s="229">
        <f>DATE(Tresorerie!$E$2,1,1)+J38</f>
        <v>46057</v>
      </c>
      <c r="B39" s="230" t="str">
        <f t="shared" si="1"/>
        <v>mer.</v>
      </c>
      <c r="C39" s="231">
        <f>SUMPRODUCT((Entrées[Date]=A39)*IF(ISNUMBER(Entrées[Montant TTC]),Entrées[Montant TTC],0))</f>
        <v>0</v>
      </c>
      <c r="D39" s="232">
        <f>SUMPRODUCT((Prévisions[0]=A39)*IF(Prévisions[E / S]="Entrée",IF(ISNUMBER(Prévisions[Coût TTC]),Prévisions[Coût TTC],0),0))</f>
        <v>0</v>
      </c>
      <c r="E39" s="233">
        <f>SUMPRODUCT((Sorties[Date]=A39)*IF(ISNUMBER(Sorties[Coût TTC]),Sorties[Coût TTC],0))</f>
        <v>0</v>
      </c>
      <c r="F39" s="232">
        <f>SUMPRODUCT((Prévisions[0]=A39)*IF(Prévisions[E / S]="Sortie",IF(ISNUMBER(Prévisions[Coût TTC]),Prévisions[Coût TTC],0),0))</f>
        <v>0</v>
      </c>
      <c r="G39" s="234">
        <f t="shared" si="2"/>
        <v>0</v>
      </c>
      <c r="H39" s="235">
        <f t="shared" si="4"/>
        <v>2564.18</v>
      </c>
      <c r="I39" s="236" t="str">
        <f t="shared" si="3"/>
        <v>✅  OK</v>
      </c>
      <c r="J39" s="237">
        <v>35.0</v>
      </c>
      <c r="K39" s="238"/>
    </row>
    <row r="40" ht="18.75" customHeight="1">
      <c r="A40" s="229">
        <f>DATE(Tresorerie!$E$2,1,1)+J39</f>
        <v>46058</v>
      </c>
      <c r="B40" s="230" t="str">
        <f t="shared" si="1"/>
        <v>jeu.</v>
      </c>
      <c r="C40" s="231">
        <f>SUMPRODUCT((Entrées[Date]=A40)*IF(ISNUMBER(Entrées[Montant TTC]),Entrées[Montant TTC],0))</f>
        <v>0</v>
      </c>
      <c r="D40" s="232">
        <f>SUMPRODUCT((Prévisions[0]=A40)*IF(Prévisions[E / S]="Entrée",IF(ISNUMBER(Prévisions[Coût TTC]),Prévisions[Coût TTC],0),0))</f>
        <v>0</v>
      </c>
      <c r="E40" s="233">
        <f>SUMPRODUCT((Sorties[Date]=A40)*IF(ISNUMBER(Sorties[Coût TTC]),Sorties[Coût TTC],0))</f>
        <v>0</v>
      </c>
      <c r="F40" s="232">
        <f>SUMPRODUCT((Prévisions[0]=A40)*IF(Prévisions[E / S]="Sortie",IF(ISNUMBER(Prévisions[Coût TTC]),Prévisions[Coût TTC],0),0))</f>
        <v>0</v>
      </c>
      <c r="G40" s="234">
        <f t="shared" si="2"/>
        <v>0</v>
      </c>
      <c r="H40" s="235">
        <f t="shared" si="4"/>
        <v>2564.18</v>
      </c>
      <c r="I40" s="236" t="str">
        <f t="shared" si="3"/>
        <v>✅  OK</v>
      </c>
      <c r="J40" s="237">
        <v>36.0</v>
      </c>
      <c r="K40" s="238"/>
    </row>
    <row r="41" ht="18.75" customHeight="1">
      <c r="A41" s="229">
        <f>DATE(Tresorerie!$E$2,1,1)+J40</f>
        <v>46059</v>
      </c>
      <c r="B41" s="230" t="str">
        <f t="shared" si="1"/>
        <v>ven.</v>
      </c>
      <c r="C41" s="231">
        <f>SUMPRODUCT((Entrées[Date]=A41)*IF(ISNUMBER(Entrées[Montant TTC]),Entrées[Montant TTC],0))</f>
        <v>0</v>
      </c>
      <c r="D41" s="232">
        <f>SUMPRODUCT((Prévisions[0]=A41)*IF(Prévisions[E / S]="Entrée",IF(ISNUMBER(Prévisions[Coût TTC]),Prévisions[Coût TTC],0),0))</f>
        <v>0</v>
      </c>
      <c r="E41" s="233">
        <f>SUMPRODUCT((Sorties[Date]=A41)*IF(ISNUMBER(Sorties[Coût TTC]),Sorties[Coût TTC],0))</f>
        <v>0</v>
      </c>
      <c r="F41" s="232">
        <f>SUMPRODUCT((Prévisions[0]=A41)*IF(Prévisions[E / S]="Sortie",IF(ISNUMBER(Prévisions[Coût TTC]),Prévisions[Coût TTC],0),0))</f>
        <v>0</v>
      </c>
      <c r="G41" s="234">
        <f t="shared" si="2"/>
        <v>0</v>
      </c>
      <c r="H41" s="235">
        <f t="shared" si="4"/>
        <v>2564.18</v>
      </c>
      <c r="I41" s="236" t="str">
        <f t="shared" si="3"/>
        <v>✅  OK</v>
      </c>
      <c r="J41" s="237">
        <v>37.0</v>
      </c>
      <c r="K41" s="238"/>
    </row>
    <row r="42" ht="18.75" customHeight="1">
      <c r="A42" s="229">
        <f>DATE(Tresorerie!$E$2,1,1)+J41</f>
        <v>46060</v>
      </c>
      <c r="B42" s="239" t="str">
        <f t="shared" si="1"/>
        <v>sam.</v>
      </c>
      <c r="C42" s="231">
        <f>SUMPRODUCT((Entrées[Date]=A42)*IF(ISNUMBER(Entrées[Montant TTC]),Entrées[Montant TTC],0))</f>
        <v>0</v>
      </c>
      <c r="D42" s="232">
        <f>SUMPRODUCT((Prévisions[0]=A42)*IF(Prévisions[E / S]="Entrée",IF(ISNUMBER(Prévisions[Coût TTC]),Prévisions[Coût TTC],0),0))</f>
        <v>0</v>
      </c>
      <c r="E42" s="233">
        <f>SUMPRODUCT((Sorties[Date]=A42)*IF(ISNUMBER(Sorties[Coût TTC]),Sorties[Coût TTC],0))</f>
        <v>0</v>
      </c>
      <c r="F42" s="232">
        <f>SUMPRODUCT((Prévisions[0]=A42)*IF(Prévisions[E / S]="Sortie",IF(ISNUMBER(Prévisions[Coût TTC]),Prévisions[Coût TTC],0),0))</f>
        <v>0</v>
      </c>
      <c r="G42" s="234">
        <f t="shared" si="2"/>
        <v>0</v>
      </c>
      <c r="H42" s="235">
        <f t="shared" si="4"/>
        <v>2564.18</v>
      </c>
      <c r="I42" s="236" t="str">
        <f t="shared" si="3"/>
        <v>✅  OK</v>
      </c>
      <c r="J42" s="237">
        <v>38.0</v>
      </c>
      <c r="K42" s="238"/>
    </row>
    <row r="43" ht="18.75" customHeight="1">
      <c r="A43" s="229">
        <f>DATE(Tresorerie!$E$2,1,1)+J42</f>
        <v>46061</v>
      </c>
      <c r="B43" s="239" t="str">
        <f t="shared" si="1"/>
        <v>dim.</v>
      </c>
      <c r="C43" s="231">
        <f>SUMPRODUCT((Entrées[Date]=A43)*IF(ISNUMBER(Entrées[Montant TTC]),Entrées[Montant TTC],0))</f>
        <v>0</v>
      </c>
      <c r="D43" s="232">
        <f>SUMPRODUCT((Prévisions[0]=A43)*IF(Prévisions[E / S]="Entrée",IF(ISNUMBER(Prévisions[Coût TTC]),Prévisions[Coût TTC],0),0))</f>
        <v>0</v>
      </c>
      <c r="E43" s="233">
        <f>SUMPRODUCT((Sorties[Date]=A43)*IF(ISNUMBER(Sorties[Coût TTC]),Sorties[Coût TTC],0))</f>
        <v>1019.35</v>
      </c>
      <c r="F43" s="232">
        <f>SUMPRODUCT((Prévisions[0]=A43)*IF(Prévisions[E / S]="Sortie",IF(ISNUMBER(Prévisions[Coût TTC]),Prévisions[Coût TTC],0),0))</f>
        <v>0</v>
      </c>
      <c r="G43" s="234">
        <f t="shared" si="2"/>
        <v>-1019.35</v>
      </c>
      <c r="H43" s="235">
        <f t="shared" si="4"/>
        <v>1544.83</v>
      </c>
      <c r="I43" s="236" t="str">
        <f t="shared" si="3"/>
        <v>✅  OK</v>
      </c>
      <c r="J43" s="237">
        <v>39.0</v>
      </c>
      <c r="K43" s="238"/>
    </row>
    <row r="44" ht="18.75" customHeight="1">
      <c r="A44" s="229">
        <f>DATE(Tresorerie!$E$2,1,1)+J43</f>
        <v>46062</v>
      </c>
      <c r="B44" s="240" t="str">
        <f t="shared" si="1"/>
        <v>lun.</v>
      </c>
      <c r="C44" s="231">
        <f>SUMPRODUCT((Entrées[Date]=A44)*IF(ISNUMBER(Entrées[Montant TTC]),Entrées[Montant TTC],0))</f>
        <v>0</v>
      </c>
      <c r="D44" s="232">
        <f>SUMPRODUCT((Prévisions[0]=A44)*IF(Prévisions[E / S]="Entrée",IF(ISNUMBER(Prévisions[Coût TTC]),Prévisions[Coût TTC],0),0))</f>
        <v>0</v>
      </c>
      <c r="E44" s="233">
        <f>SUMPRODUCT((Sorties[Date]=A44)*IF(ISNUMBER(Sorties[Coût TTC]),Sorties[Coût TTC],0))</f>
        <v>0</v>
      </c>
      <c r="F44" s="232">
        <f>SUMPRODUCT((Prévisions[0]=A44)*IF(Prévisions[E / S]="Sortie",IF(ISNUMBER(Prévisions[Coût TTC]),Prévisions[Coût TTC],0),0))</f>
        <v>0</v>
      </c>
      <c r="G44" s="234">
        <f t="shared" si="2"/>
        <v>0</v>
      </c>
      <c r="H44" s="235">
        <f t="shared" si="4"/>
        <v>1544.83</v>
      </c>
      <c r="I44" s="236" t="str">
        <f t="shared" si="3"/>
        <v>✅  OK</v>
      </c>
      <c r="J44" s="237">
        <v>40.0</v>
      </c>
      <c r="K44" s="238"/>
    </row>
    <row r="45" ht="18.75" customHeight="1">
      <c r="A45" s="229">
        <f>DATE(Tresorerie!$E$2,1,1)+J44</f>
        <v>46063</v>
      </c>
      <c r="B45" s="230" t="str">
        <f t="shared" si="1"/>
        <v>mar.</v>
      </c>
      <c r="C45" s="231">
        <f>SUMPRODUCT((Entrées[Date]=A45)*IF(ISNUMBER(Entrées[Montant TTC]),Entrées[Montant TTC],0))</f>
        <v>0</v>
      </c>
      <c r="D45" s="232">
        <f>SUMPRODUCT((Prévisions[0]=A45)*IF(Prévisions[E / S]="Entrée",IF(ISNUMBER(Prévisions[Coût TTC]),Prévisions[Coût TTC],0),0))</f>
        <v>0</v>
      </c>
      <c r="E45" s="233">
        <f>SUMPRODUCT((Sorties[Date]=A45)*IF(ISNUMBER(Sorties[Coût TTC]),Sorties[Coût TTC],0))</f>
        <v>0</v>
      </c>
      <c r="F45" s="232">
        <f>SUMPRODUCT((Prévisions[0]=A45)*IF(Prévisions[E / S]="Sortie",IF(ISNUMBER(Prévisions[Coût TTC]),Prévisions[Coût TTC],0),0))</f>
        <v>0</v>
      </c>
      <c r="G45" s="234">
        <f t="shared" si="2"/>
        <v>0</v>
      </c>
      <c r="H45" s="235">
        <f t="shared" si="4"/>
        <v>1544.83</v>
      </c>
      <c r="I45" s="236" t="str">
        <f t="shared" si="3"/>
        <v>✅  OK</v>
      </c>
      <c r="J45" s="237">
        <v>41.0</v>
      </c>
      <c r="K45" s="238"/>
    </row>
    <row r="46" ht="18.75" customHeight="1">
      <c r="A46" s="229">
        <f>DATE(Tresorerie!$E$2,1,1)+J45</f>
        <v>46064</v>
      </c>
      <c r="B46" s="230" t="str">
        <f t="shared" si="1"/>
        <v>mer.</v>
      </c>
      <c r="C46" s="231">
        <f>SUMPRODUCT((Entrées[Date]=A46)*IF(ISNUMBER(Entrées[Montant TTC]),Entrées[Montant TTC],0))</f>
        <v>95</v>
      </c>
      <c r="D46" s="232">
        <f>SUMPRODUCT((Prévisions[0]=A46)*IF(Prévisions[E / S]="Entrée",IF(ISNUMBER(Prévisions[Coût TTC]),Prévisions[Coût TTC],0),0))</f>
        <v>0</v>
      </c>
      <c r="E46" s="233">
        <f>SUMPRODUCT((Sorties[Date]=A46)*IF(ISNUMBER(Sorties[Coût TTC]),Sorties[Coût TTC],0))</f>
        <v>0</v>
      </c>
      <c r="F46" s="232">
        <f>SUMPRODUCT((Prévisions[0]=A46)*IF(Prévisions[E / S]="Sortie",IF(ISNUMBER(Prévisions[Coût TTC]),Prévisions[Coût TTC],0),0))</f>
        <v>0</v>
      </c>
      <c r="G46" s="234">
        <f t="shared" si="2"/>
        <v>95</v>
      </c>
      <c r="H46" s="235">
        <f t="shared" si="4"/>
        <v>1639.83</v>
      </c>
      <c r="I46" s="236" t="str">
        <f t="shared" si="3"/>
        <v>✅  OK</v>
      </c>
      <c r="J46" s="237">
        <v>42.0</v>
      </c>
      <c r="K46" s="238"/>
    </row>
    <row r="47" ht="18.75" customHeight="1">
      <c r="A47" s="229">
        <f>DATE(Tresorerie!$E$2,1,1)+J46</f>
        <v>46065</v>
      </c>
      <c r="B47" s="230" t="str">
        <f t="shared" si="1"/>
        <v>jeu.</v>
      </c>
      <c r="C47" s="231">
        <f>SUMPRODUCT((Entrées[Date]=A47)*IF(ISNUMBER(Entrées[Montant TTC]),Entrées[Montant TTC],0))</f>
        <v>0</v>
      </c>
      <c r="D47" s="232">
        <f>SUMPRODUCT((Prévisions[0]=A47)*IF(Prévisions[E / S]="Entrée",IF(ISNUMBER(Prévisions[Coût TTC]),Prévisions[Coût TTC],0),0))</f>
        <v>0</v>
      </c>
      <c r="E47" s="233">
        <f>SUMPRODUCT((Sorties[Date]=A47)*IF(ISNUMBER(Sorties[Coût TTC]),Sorties[Coût TTC],0))</f>
        <v>0</v>
      </c>
      <c r="F47" s="232">
        <f>SUMPRODUCT((Prévisions[0]=A47)*IF(Prévisions[E / S]="Sortie",IF(ISNUMBER(Prévisions[Coût TTC]),Prévisions[Coût TTC],0),0))</f>
        <v>0</v>
      </c>
      <c r="G47" s="234">
        <f t="shared" si="2"/>
        <v>0</v>
      </c>
      <c r="H47" s="235">
        <f t="shared" si="4"/>
        <v>1639.83</v>
      </c>
      <c r="I47" s="236" t="str">
        <f t="shared" si="3"/>
        <v>✅  OK</v>
      </c>
      <c r="J47" s="237">
        <v>43.0</v>
      </c>
      <c r="K47" s="238"/>
    </row>
    <row r="48" ht="18.75" customHeight="1">
      <c r="A48" s="229">
        <f>DATE(Tresorerie!$E$2,1,1)+J47</f>
        <v>46066</v>
      </c>
      <c r="B48" s="230" t="str">
        <f t="shared" si="1"/>
        <v>ven.</v>
      </c>
      <c r="C48" s="231">
        <f>SUMPRODUCT((Entrées[Date]=A48)*IF(ISNUMBER(Entrées[Montant TTC]),Entrées[Montant TTC],0))</f>
        <v>0</v>
      </c>
      <c r="D48" s="232">
        <f>SUMPRODUCT((Prévisions[0]=A48)*IF(Prévisions[E / S]="Entrée",IF(ISNUMBER(Prévisions[Coût TTC]),Prévisions[Coût TTC],0),0))</f>
        <v>0</v>
      </c>
      <c r="E48" s="233">
        <f>SUMPRODUCT((Sorties[Date]=A48)*IF(ISNUMBER(Sorties[Coût TTC]),Sorties[Coût TTC],0))</f>
        <v>0</v>
      </c>
      <c r="F48" s="232">
        <f>SUMPRODUCT((Prévisions[0]=A48)*IF(Prévisions[E / S]="Sortie",IF(ISNUMBER(Prévisions[Coût TTC]),Prévisions[Coût TTC],0),0))</f>
        <v>0</v>
      </c>
      <c r="G48" s="234">
        <f t="shared" si="2"/>
        <v>0</v>
      </c>
      <c r="H48" s="235">
        <f t="shared" si="4"/>
        <v>1639.83</v>
      </c>
      <c r="I48" s="236" t="str">
        <f t="shared" si="3"/>
        <v>✅  OK</v>
      </c>
      <c r="J48" s="237">
        <v>44.0</v>
      </c>
      <c r="K48" s="238"/>
    </row>
    <row r="49" ht="18.75" customHeight="1">
      <c r="A49" s="229">
        <f>DATE(Tresorerie!$E$2,1,1)+J48</f>
        <v>46067</v>
      </c>
      <c r="B49" s="239" t="str">
        <f t="shared" si="1"/>
        <v>sam.</v>
      </c>
      <c r="C49" s="231">
        <f>SUMPRODUCT((Entrées[Date]=A49)*IF(ISNUMBER(Entrées[Montant TTC]),Entrées[Montant TTC],0))</f>
        <v>0</v>
      </c>
      <c r="D49" s="232">
        <f>SUMPRODUCT((Prévisions[0]=A49)*IF(Prévisions[E / S]="Entrée",IF(ISNUMBER(Prévisions[Coût TTC]),Prévisions[Coût TTC],0),0))</f>
        <v>0</v>
      </c>
      <c r="E49" s="233">
        <f>SUMPRODUCT((Sorties[Date]=A49)*IF(ISNUMBER(Sorties[Coût TTC]),Sorties[Coût TTC],0))</f>
        <v>0</v>
      </c>
      <c r="F49" s="232">
        <f>SUMPRODUCT((Prévisions[0]=A49)*IF(Prévisions[E / S]="Sortie",IF(ISNUMBER(Prévisions[Coût TTC]),Prévisions[Coût TTC],0),0))</f>
        <v>0</v>
      </c>
      <c r="G49" s="234">
        <f t="shared" si="2"/>
        <v>0</v>
      </c>
      <c r="H49" s="235">
        <f t="shared" si="4"/>
        <v>1639.83</v>
      </c>
      <c r="I49" s="236" t="str">
        <f t="shared" si="3"/>
        <v>✅  OK</v>
      </c>
      <c r="J49" s="237">
        <v>45.0</v>
      </c>
      <c r="K49" s="238"/>
    </row>
    <row r="50" ht="18.75" customHeight="1">
      <c r="A50" s="229">
        <f>DATE(Tresorerie!$E$2,1,1)+J49</f>
        <v>46068</v>
      </c>
      <c r="B50" s="239" t="str">
        <f t="shared" si="1"/>
        <v>dim.</v>
      </c>
      <c r="C50" s="231">
        <f>SUMPRODUCT((Entrées[Date]=A50)*IF(ISNUMBER(Entrées[Montant TTC]),Entrées[Montant TTC],0))</f>
        <v>0</v>
      </c>
      <c r="D50" s="232">
        <f>SUMPRODUCT((Prévisions[0]=A50)*IF(Prévisions[E / S]="Entrée",IF(ISNUMBER(Prévisions[Coût TTC]),Prévisions[Coût TTC],0),0))</f>
        <v>0</v>
      </c>
      <c r="E50" s="233">
        <f>SUMPRODUCT((Sorties[Date]=A50)*IF(ISNUMBER(Sorties[Coût TTC]),Sorties[Coût TTC],0))</f>
        <v>224.99</v>
      </c>
      <c r="F50" s="232">
        <f>SUMPRODUCT((Prévisions[0]=A50)*IF(Prévisions[E / S]="Sortie",IF(ISNUMBER(Prévisions[Coût TTC]),Prévisions[Coût TTC],0),0))</f>
        <v>0</v>
      </c>
      <c r="G50" s="234">
        <f t="shared" si="2"/>
        <v>-224.99</v>
      </c>
      <c r="H50" s="235">
        <f t="shared" si="4"/>
        <v>1414.84</v>
      </c>
      <c r="I50" s="236" t="str">
        <f t="shared" si="3"/>
        <v>✅  OK</v>
      </c>
      <c r="J50" s="237">
        <v>46.0</v>
      </c>
      <c r="K50" s="238"/>
    </row>
    <row r="51" ht="18.75" customHeight="1">
      <c r="A51" s="229">
        <f>DATE(Tresorerie!$E$2,1,1)+J50</f>
        <v>46069</v>
      </c>
      <c r="B51" s="240" t="str">
        <f t="shared" si="1"/>
        <v>lun.</v>
      </c>
      <c r="C51" s="231">
        <f>SUMPRODUCT((Entrées[Date]=A51)*IF(ISNUMBER(Entrées[Montant TTC]),Entrées[Montant TTC],0))</f>
        <v>0</v>
      </c>
      <c r="D51" s="232">
        <f>SUMPRODUCT((Prévisions[0]=A51)*IF(Prévisions[E / S]="Entrée",IF(ISNUMBER(Prévisions[Coût TTC]),Prévisions[Coût TTC],0),0))</f>
        <v>0</v>
      </c>
      <c r="E51" s="233">
        <f>SUMPRODUCT((Sorties[Date]=A51)*IF(ISNUMBER(Sorties[Coût TTC]),Sorties[Coût TTC],0))</f>
        <v>0</v>
      </c>
      <c r="F51" s="232">
        <f>SUMPRODUCT((Prévisions[0]=A51)*IF(Prévisions[E / S]="Sortie",IF(ISNUMBER(Prévisions[Coût TTC]),Prévisions[Coût TTC],0),0))</f>
        <v>0</v>
      </c>
      <c r="G51" s="234">
        <f t="shared" si="2"/>
        <v>0</v>
      </c>
      <c r="H51" s="235">
        <f t="shared" si="4"/>
        <v>1414.84</v>
      </c>
      <c r="I51" s="236" t="str">
        <f t="shared" si="3"/>
        <v>✅  OK</v>
      </c>
      <c r="J51" s="237">
        <v>47.0</v>
      </c>
      <c r="K51" s="238"/>
    </row>
    <row r="52" ht="18.75" customHeight="1">
      <c r="A52" s="229">
        <f>DATE(Tresorerie!$E$2,1,1)+J51</f>
        <v>46070</v>
      </c>
      <c r="B52" s="230" t="str">
        <f t="shared" si="1"/>
        <v>mar.</v>
      </c>
      <c r="C52" s="231">
        <f>SUMPRODUCT((Entrées[Date]=A52)*IF(ISNUMBER(Entrées[Montant TTC]),Entrées[Montant TTC],0))</f>
        <v>47.99</v>
      </c>
      <c r="D52" s="232">
        <f>SUMPRODUCT((Prévisions[0]=A52)*IF(Prévisions[E / S]="Entrée",IF(ISNUMBER(Prévisions[Coût TTC]),Prévisions[Coût TTC],0),0))</f>
        <v>0</v>
      </c>
      <c r="E52" s="233">
        <f>SUMPRODUCT((Sorties[Date]=A52)*IF(ISNUMBER(Sorties[Coût TTC]),Sorties[Coût TTC],0))</f>
        <v>0</v>
      </c>
      <c r="F52" s="232">
        <f>SUMPRODUCT((Prévisions[0]=A52)*IF(Prévisions[E / S]="Sortie",IF(ISNUMBER(Prévisions[Coût TTC]),Prévisions[Coût TTC],0),0))</f>
        <v>0</v>
      </c>
      <c r="G52" s="234">
        <f t="shared" si="2"/>
        <v>47.99</v>
      </c>
      <c r="H52" s="235">
        <f t="shared" si="4"/>
        <v>1462.83</v>
      </c>
      <c r="I52" s="236" t="str">
        <f t="shared" si="3"/>
        <v>✅  OK</v>
      </c>
      <c r="J52" s="237">
        <v>48.0</v>
      </c>
      <c r="K52" s="238"/>
    </row>
    <row r="53" ht="18.75" customHeight="1">
      <c r="A53" s="229">
        <f>DATE(Tresorerie!$E$2,1,1)+J52</f>
        <v>46071</v>
      </c>
      <c r="B53" s="230" t="str">
        <f t="shared" si="1"/>
        <v>mer.</v>
      </c>
      <c r="C53" s="231">
        <f>SUMPRODUCT((Entrées[Date]=A53)*IF(ISNUMBER(Entrées[Montant TTC]),Entrées[Montant TTC],0))</f>
        <v>0</v>
      </c>
      <c r="D53" s="232">
        <f>SUMPRODUCT((Prévisions[0]=A53)*IF(Prévisions[E / S]="Entrée",IF(ISNUMBER(Prévisions[Coût TTC]),Prévisions[Coût TTC],0),0))</f>
        <v>0</v>
      </c>
      <c r="E53" s="233">
        <f>SUMPRODUCT((Sorties[Date]=A53)*IF(ISNUMBER(Sorties[Coût TTC]),Sorties[Coût TTC],0))</f>
        <v>0</v>
      </c>
      <c r="F53" s="232">
        <f>SUMPRODUCT((Prévisions[0]=A53)*IF(Prévisions[E / S]="Sortie",IF(ISNUMBER(Prévisions[Coût TTC]),Prévisions[Coût TTC],0),0))</f>
        <v>0</v>
      </c>
      <c r="G53" s="234">
        <f t="shared" si="2"/>
        <v>0</v>
      </c>
      <c r="H53" s="235">
        <f t="shared" si="4"/>
        <v>1462.83</v>
      </c>
      <c r="I53" s="236" t="str">
        <f t="shared" si="3"/>
        <v>✅  OK</v>
      </c>
      <c r="J53" s="237">
        <v>49.0</v>
      </c>
      <c r="K53" s="238"/>
    </row>
    <row r="54" ht="18.75" customHeight="1">
      <c r="A54" s="229">
        <f>DATE(Tresorerie!$E$2,1,1)+J53</f>
        <v>46072</v>
      </c>
      <c r="B54" s="230" t="str">
        <f t="shared" si="1"/>
        <v>jeu.</v>
      </c>
      <c r="C54" s="231">
        <f>SUMPRODUCT((Entrées[Date]=A54)*IF(ISNUMBER(Entrées[Montant TTC]),Entrées[Montant TTC],0))</f>
        <v>0</v>
      </c>
      <c r="D54" s="232">
        <f>SUMPRODUCT((Prévisions[0]=A54)*IF(Prévisions[E / S]="Entrée",IF(ISNUMBER(Prévisions[Coût TTC]),Prévisions[Coût TTC],0),0))</f>
        <v>0</v>
      </c>
      <c r="E54" s="233">
        <f>SUMPRODUCT((Sorties[Date]=A54)*IF(ISNUMBER(Sorties[Coût TTC]),Sorties[Coût TTC],0))</f>
        <v>0</v>
      </c>
      <c r="F54" s="232">
        <f>SUMPRODUCT((Prévisions[0]=A54)*IF(Prévisions[E / S]="Sortie",IF(ISNUMBER(Prévisions[Coût TTC]),Prévisions[Coût TTC],0),0))</f>
        <v>0</v>
      </c>
      <c r="G54" s="234">
        <f t="shared" si="2"/>
        <v>0</v>
      </c>
      <c r="H54" s="235">
        <f t="shared" si="4"/>
        <v>1462.83</v>
      </c>
      <c r="I54" s="236" t="str">
        <f t="shared" si="3"/>
        <v>✅  OK</v>
      </c>
      <c r="J54" s="237">
        <v>50.0</v>
      </c>
      <c r="K54" s="238"/>
    </row>
    <row r="55" ht="18.75" customHeight="1">
      <c r="A55" s="229">
        <f>DATE(Tresorerie!$E$2,1,1)+J54</f>
        <v>46073</v>
      </c>
      <c r="B55" s="230" t="str">
        <f t="shared" si="1"/>
        <v>ven.</v>
      </c>
      <c r="C55" s="231">
        <f>SUMPRODUCT((Entrées[Date]=A55)*IF(ISNUMBER(Entrées[Montant TTC]),Entrées[Montant TTC],0))</f>
        <v>0</v>
      </c>
      <c r="D55" s="232">
        <f>SUMPRODUCT((Prévisions[0]=A55)*IF(Prévisions[E / S]="Entrée",IF(ISNUMBER(Prévisions[Coût TTC]),Prévisions[Coût TTC],0),0))</f>
        <v>0</v>
      </c>
      <c r="E55" s="233">
        <f>SUMPRODUCT((Sorties[Date]=A55)*IF(ISNUMBER(Sorties[Coût TTC]),Sorties[Coût TTC],0))</f>
        <v>0</v>
      </c>
      <c r="F55" s="232">
        <f>SUMPRODUCT((Prévisions[0]=A55)*IF(Prévisions[E / S]="Sortie",IF(ISNUMBER(Prévisions[Coût TTC]),Prévisions[Coût TTC],0),0))</f>
        <v>0</v>
      </c>
      <c r="G55" s="234">
        <f t="shared" si="2"/>
        <v>0</v>
      </c>
      <c r="H55" s="235">
        <f t="shared" si="4"/>
        <v>1462.83</v>
      </c>
      <c r="I55" s="236" t="str">
        <f t="shared" si="3"/>
        <v>✅  OK</v>
      </c>
      <c r="J55" s="237">
        <v>51.0</v>
      </c>
      <c r="K55" s="238"/>
    </row>
    <row r="56" ht="18.75" customHeight="1">
      <c r="A56" s="229">
        <f>DATE(Tresorerie!$E$2,1,1)+J55</f>
        <v>46074</v>
      </c>
      <c r="B56" s="239" t="str">
        <f t="shared" si="1"/>
        <v>sam.</v>
      </c>
      <c r="C56" s="231">
        <f>SUMPRODUCT((Entrées[Date]=A56)*IF(ISNUMBER(Entrées[Montant TTC]),Entrées[Montant TTC],0))</f>
        <v>0</v>
      </c>
      <c r="D56" s="232">
        <f>SUMPRODUCT((Prévisions[0]=A56)*IF(Prévisions[E / S]="Entrée",IF(ISNUMBER(Prévisions[Coût TTC]),Prévisions[Coût TTC],0),0))</f>
        <v>0</v>
      </c>
      <c r="E56" s="233">
        <f>SUMPRODUCT((Sorties[Date]=A56)*IF(ISNUMBER(Sorties[Coût TTC]),Sorties[Coût TTC],0))</f>
        <v>0</v>
      </c>
      <c r="F56" s="232">
        <f>SUMPRODUCT((Prévisions[0]=A56)*IF(Prévisions[E / S]="Sortie",IF(ISNUMBER(Prévisions[Coût TTC]),Prévisions[Coût TTC],0),0))</f>
        <v>0</v>
      </c>
      <c r="G56" s="234">
        <f t="shared" si="2"/>
        <v>0</v>
      </c>
      <c r="H56" s="235">
        <f t="shared" si="4"/>
        <v>1462.83</v>
      </c>
      <c r="I56" s="236" t="str">
        <f t="shared" si="3"/>
        <v>✅  OK</v>
      </c>
      <c r="J56" s="237">
        <v>52.0</v>
      </c>
      <c r="K56" s="238"/>
    </row>
    <row r="57" ht="18.75" customHeight="1">
      <c r="A57" s="229">
        <f>DATE(Tresorerie!$E$2,1,1)+J56</f>
        <v>46075</v>
      </c>
      <c r="B57" s="239" t="str">
        <f t="shared" si="1"/>
        <v>dim.</v>
      </c>
      <c r="C57" s="231">
        <f>SUMPRODUCT((Entrées[Date]=A57)*IF(ISNUMBER(Entrées[Montant TTC]),Entrées[Montant TTC],0))</f>
        <v>0</v>
      </c>
      <c r="D57" s="232">
        <f>SUMPRODUCT((Prévisions[0]=A57)*IF(Prévisions[E / S]="Entrée",IF(ISNUMBER(Prévisions[Coût TTC]),Prévisions[Coût TTC],0),0))</f>
        <v>0</v>
      </c>
      <c r="E57" s="233">
        <f>SUMPRODUCT((Sorties[Date]=A57)*IF(ISNUMBER(Sorties[Coût TTC]),Sorties[Coût TTC],0))</f>
        <v>0</v>
      </c>
      <c r="F57" s="232">
        <f>SUMPRODUCT((Prévisions[0]=A57)*IF(Prévisions[E / S]="Sortie",IF(ISNUMBER(Prévisions[Coût TTC]),Prévisions[Coût TTC],0),0))</f>
        <v>0</v>
      </c>
      <c r="G57" s="234">
        <f t="shared" si="2"/>
        <v>0</v>
      </c>
      <c r="H57" s="235">
        <f t="shared" si="4"/>
        <v>1462.83</v>
      </c>
      <c r="I57" s="236" t="str">
        <f t="shared" si="3"/>
        <v>✅  OK</v>
      </c>
      <c r="J57" s="237">
        <v>53.0</v>
      </c>
      <c r="K57" s="238"/>
    </row>
    <row r="58" ht="18.75" customHeight="1">
      <c r="A58" s="229">
        <f>DATE(Tresorerie!$E$2,1,1)+J57</f>
        <v>46076</v>
      </c>
      <c r="B58" s="240" t="str">
        <f t="shared" si="1"/>
        <v>lun.</v>
      </c>
      <c r="C58" s="231">
        <f>SUMPRODUCT((Entrées[Date]=A58)*IF(ISNUMBER(Entrées[Montant TTC]),Entrées[Montant TTC],0))</f>
        <v>0</v>
      </c>
      <c r="D58" s="232">
        <f>SUMPRODUCT((Prévisions[0]=A58)*IF(Prévisions[E / S]="Entrée",IF(ISNUMBER(Prévisions[Coût TTC]),Prévisions[Coût TTC],0),0))</f>
        <v>0</v>
      </c>
      <c r="E58" s="233">
        <f>SUMPRODUCT((Sorties[Date]=A58)*IF(ISNUMBER(Sorties[Coût TTC]),Sorties[Coût TTC],0))</f>
        <v>0</v>
      </c>
      <c r="F58" s="232">
        <f>SUMPRODUCT((Prévisions[0]=A58)*IF(Prévisions[E / S]="Sortie",IF(ISNUMBER(Prévisions[Coût TTC]),Prévisions[Coût TTC],0),0))</f>
        <v>0</v>
      </c>
      <c r="G58" s="234">
        <f t="shared" si="2"/>
        <v>0</v>
      </c>
      <c r="H58" s="235">
        <f t="shared" si="4"/>
        <v>1462.83</v>
      </c>
      <c r="I58" s="236" t="str">
        <f t="shared" si="3"/>
        <v>✅  OK</v>
      </c>
      <c r="J58" s="237">
        <v>54.0</v>
      </c>
      <c r="K58" s="238"/>
    </row>
    <row r="59" ht="18.75" customHeight="1">
      <c r="A59" s="229">
        <f>DATE(Tresorerie!$E$2,1,1)+J58</f>
        <v>46077</v>
      </c>
      <c r="B59" s="230" t="str">
        <f t="shared" si="1"/>
        <v>mar.</v>
      </c>
      <c r="C59" s="231">
        <f>SUMPRODUCT((Entrées[Date]=A59)*IF(ISNUMBER(Entrées[Montant TTC]),Entrées[Montant TTC],0))</f>
        <v>0</v>
      </c>
      <c r="D59" s="232">
        <f>SUMPRODUCT((Prévisions[0]=A59)*IF(Prévisions[E / S]="Entrée",IF(ISNUMBER(Prévisions[Coût TTC]),Prévisions[Coût TTC],0),0))</f>
        <v>0</v>
      </c>
      <c r="E59" s="233">
        <f>SUMPRODUCT((Sorties[Date]=A59)*IF(ISNUMBER(Sorties[Coût TTC]),Sorties[Coût TTC],0))</f>
        <v>0</v>
      </c>
      <c r="F59" s="232">
        <f>SUMPRODUCT((Prévisions[0]=A59)*IF(Prévisions[E / S]="Sortie",IF(ISNUMBER(Prévisions[Coût TTC]),Prévisions[Coût TTC],0),0))</f>
        <v>0</v>
      </c>
      <c r="G59" s="234">
        <f t="shared" si="2"/>
        <v>0</v>
      </c>
      <c r="H59" s="235">
        <f t="shared" si="4"/>
        <v>1462.83</v>
      </c>
      <c r="I59" s="236" t="str">
        <f t="shared" si="3"/>
        <v>✅  OK</v>
      </c>
      <c r="J59" s="237">
        <v>55.0</v>
      </c>
      <c r="K59" s="238"/>
    </row>
    <row r="60" ht="18.75" customHeight="1">
      <c r="A60" s="229">
        <f>DATE(Tresorerie!$E$2,1,1)+J59</f>
        <v>46078</v>
      </c>
      <c r="B60" s="230" t="str">
        <f t="shared" si="1"/>
        <v>mer.</v>
      </c>
      <c r="C60" s="231">
        <f>SUMPRODUCT((Entrées[Date]=A60)*IF(ISNUMBER(Entrées[Montant TTC]),Entrées[Montant TTC],0))</f>
        <v>0</v>
      </c>
      <c r="D60" s="232">
        <f>SUMPRODUCT((Prévisions[0]=A60)*IF(Prévisions[E / S]="Entrée",IF(ISNUMBER(Prévisions[Coût TTC]),Prévisions[Coût TTC],0),0))</f>
        <v>0</v>
      </c>
      <c r="E60" s="233">
        <f>SUMPRODUCT((Sorties[Date]=A60)*IF(ISNUMBER(Sorties[Coût TTC]),Sorties[Coût TTC],0))</f>
        <v>26.1</v>
      </c>
      <c r="F60" s="232">
        <f>SUMPRODUCT((Prévisions[0]=A60)*IF(Prévisions[E / S]="Sortie",IF(ISNUMBER(Prévisions[Coût TTC]),Prévisions[Coût TTC],0),0))</f>
        <v>0</v>
      </c>
      <c r="G60" s="234">
        <f t="shared" si="2"/>
        <v>-26.1</v>
      </c>
      <c r="H60" s="235">
        <f t="shared" si="4"/>
        <v>1436.73</v>
      </c>
      <c r="I60" s="236" t="str">
        <f t="shared" si="3"/>
        <v>✅  OK</v>
      </c>
      <c r="J60" s="237">
        <v>56.0</v>
      </c>
      <c r="K60" s="238"/>
    </row>
    <row r="61" ht="18.75" customHeight="1">
      <c r="A61" s="229">
        <f>DATE(Tresorerie!$E$2,1,1)+J60</f>
        <v>46079</v>
      </c>
      <c r="B61" s="230" t="str">
        <f t="shared" si="1"/>
        <v>jeu.</v>
      </c>
      <c r="C61" s="231">
        <f>SUMPRODUCT((Entrées[Date]=A61)*IF(ISNUMBER(Entrées[Montant TTC]),Entrées[Montant TTC],0))</f>
        <v>0</v>
      </c>
      <c r="D61" s="232">
        <f>SUMPRODUCT((Prévisions[0]=A61)*IF(Prévisions[E / S]="Entrée",IF(ISNUMBER(Prévisions[Coût TTC]),Prévisions[Coût TTC],0),0))</f>
        <v>0</v>
      </c>
      <c r="E61" s="233">
        <f>SUMPRODUCT((Sorties[Date]=A61)*IF(ISNUMBER(Sorties[Coût TTC]),Sorties[Coût TTC],0))</f>
        <v>0</v>
      </c>
      <c r="F61" s="232">
        <f>SUMPRODUCT((Prévisions[0]=A61)*IF(Prévisions[E / S]="Sortie",IF(ISNUMBER(Prévisions[Coût TTC]),Prévisions[Coût TTC],0),0))</f>
        <v>0</v>
      </c>
      <c r="G61" s="234">
        <f t="shared" si="2"/>
        <v>0</v>
      </c>
      <c r="H61" s="235">
        <f t="shared" si="4"/>
        <v>1436.73</v>
      </c>
      <c r="I61" s="236" t="str">
        <f t="shared" si="3"/>
        <v>✅  OK</v>
      </c>
      <c r="J61" s="237">
        <v>57.0</v>
      </c>
      <c r="K61" s="238"/>
    </row>
    <row r="62" ht="18.75" customHeight="1">
      <c r="A62" s="229">
        <f>DATE(Tresorerie!$E$2,1,1)+J61</f>
        <v>46080</v>
      </c>
      <c r="B62" s="230" t="str">
        <f t="shared" si="1"/>
        <v>ven.</v>
      </c>
      <c r="C62" s="231">
        <f>SUMPRODUCT((Entrées[Date]=A62)*IF(ISNUMBER(Entrées[Montant TTC]),Entrées[Montant TTC],0))</f>
        <v>0</v>
      </c>
      <c r="D62" s="232">
        <f>SUMPRODUCT((Prévisions[0]=A62)*IF(Prévisions[E / S]="Entrée",IF(ISNUMBER(Prévisions[Coût TTC]),Prévisions[Coût TTC],0),0))</f>
        <v>0</v>
      </c>
      <c r="E62" s="233">
        <f>SUMPRODUCT((Sorties[Date]=A62)*IF(ISNUMBER(Sorties[Coût TTC]),Sorties[Coût TTC],0))</f>
        <v>0</v>
      </c>
      <c r="F62" s="232">
        <f>SUMPRODUCT((Prévisions[0]=A62)*IF(Prévisions[E / S]="Sortie",IF(ISNUMBER(Prévisions[Coût TTC]),Prévisions[Coût TTC],0),0))</f>
        <v>0</v>
      </c>
      <c r="G62" s="234">
        <f t="shared" si="2"/>
        <v>0</v>
      </c>
      <c r="H62" s="235">
        <f t="shared" si="4"/>
        <v>1436.73</v>
      </c>
      <c r="I62" s="236" t="str">
        <f t="shared" si="3"/>
        <v>✅  OK</v>
      </c>
      <c r="J62" s="237">
        <v>58.0</v>
      </c>
      <c r="K62" s="238"/>
    </row>
    <row r="63" ht="18.75" customHeight="1">
      <c r="A63" s="229">
        <f>DATE(Tresorerie!$E$2,1,1)+J62</f>
        <v>46081</v>
      </c>
      <c r="B63" s="239" t="str">
        <f t="shared" si="1"/>
        <v>sam.</v>
      </c>
      <c r="C63" s="231">
        <f>SUMPRODUCT((Entrées[Date]=A63)*IF(ISNUMBER(Entrées[Montant TTC]),Entrées[Montant TTC],0))</f>
        <v>0</v>
      </c>
      <c r="D63" s="232">
        <f>SUMPRODUCT((Prévisions[0]=A63)*IF(Prévisions[E / S]="Entrée",IF(ISNUMBER(Prévisions[Coût TTC]),Prévisions[Coût TTC],0),0))</f>
        <v>0</v>
      </c>
      <c r="E63" s="233">
        <f>SUMPRODUCT((Sorties[Date]=A63)*IF(ISNUMBER(Sorties[Coût TTC]),Sorties[Coût TTC],0))</f>
        <v>0</v>
      </c>
      <c r="F63" s="232">
        <f>SUMPRODUCT((Prévisions[0]=A63)*IF(Prévisions[E / S]="Sortie",IF(ISNUMBER(Prévisions[Coût TTC]),Prévisions[Coût TTC],0),0))</f>
        <v>0</v>
      </c>
      <c r="G63" s="234">
        <f t="shared" si="2"/>
        <v>0</v>
      </c>
      <c r="H63" s="235">
        <f t="shared" si="4"/>
        <v>1436.73</v>
      </c>
      <c r="I63" s="236" t="str">
        <f t="shared" si="3"/>
        <v>✅  OK</v>
      </c>
      <c r="J63" s="237">
        <v>59.0</v>
      </c>
      <c r="K63" s="238"/>
    </row>
    <row r="64" ht="18.75" customHeight="1">
      <c r="A64" s="229">
        <f>DATE(Tresorerie!$E$2,1,1)+J63</f>
        <v>46082</v>
      </c>
      <c r="B64" s="239" t="str">
        <f t="shared" si="1"/>
        <v>dim.</v>
      </c>
      <c r="C64" s="231">
        <f>SUMPRODUCT((Entrées[Date]=A64)*IF(ISNUMBER(Entrées[Montant TTC]),Entrées[Montant TTC],0))</f>
        <v>0</v>
      </c>
      <c r="D64" s="232">
        <f>SUMPRODUCT((Prévisions[0]=A64)*IF(Prévisions[E / S]="Entrée",IF(ISNUMBER(Prévisions[Coût TTC]),Prévisions[Coût TTC],0),0))</f>
        <v>0</v>
      </c>
      <c r="E64" s="233">
        <f>SUMPRODUCT((Sorties[Date]=A64)*IF(ISNUMBER(Sorties[Coût TTC]),Sorties[Coût TTC],0))</f>
        <v>0</v>
      </c>
      <c r="F64" s="232">
        <f>SUMPRODUCT((Prévisions[0]=A64)*IF(Prévisions[E / S]="Sortie",IF(ISNUMBER(Prévisions[Coût TTC]),Prévisions[Coût TTC],0),0))</f>
        <v>0</v>
      </c>
      <c r="G64" s="234">
        <f t="shared" si="2"/>
        <v>0</v>
      </c>
      <c r="H64" s="235">
        <f t="shared" si="4"/>
        <v>1436.73</v>
      </c>
      <c r="I64" s="236" t="str">
        <f t="shared" si="3"/>
        <v>✅  OK</v>
      </c>
      <c r="J64" s="237">
        <v>60.0</v>
      </c>
      <c r="K64" s="238"/>
    </row>
    <row r="65" ht="18.75" customHeight="1">
      <c r="A65" s="229">
        <f>DATE(Tresorerie!$E$2,1,1)+J64</f>
        <v>46083</v>
      </c>
      <c r="B65" s="240" t="str">
        <f t="shared" si="1"/>
        <v>lun.</v>
      </c>
      <c r="C65" s="231">
        <f>SUMPRODUCT((Entrées[Date]=A65)*IF(ISNUMBER(Entrées[Montant TTC]),Entrées[Montant TTC],0))</f>
        <v>0</v>
      </c>
      <c r="D65" s="232">
        <f>SUMPRODUCT((Prévisions[0]=A65)*IF(Prévisions[E / S]="Entrée",IF(ISNUMBER(Prévisions[Coût TTC]),Prévisions[Coût TTC],0),0))</f>
        <v>0</v>
      </c>
      <c r="E65" s="233">
        <f>SUMPRODUCT((Sorties[Date]=A65)*IF(ISNUMBER(Sorties[Coût TTC]),Sorties[Coût TTC],0))</f>
        <v>0</v>
      </c>
      <c r="F65" s="232">
        <f>SUMPRODUCT((Prévisions[0]=A65)*IF(Prévisions[E / S]="Sortie",IF(ISNUMBER(Prévisions[Coût TTC]),Prévisions[Coût TTC],0),0))</f>
        <v>0</v>
      </c>
      <c r="G65" s="234">
        <f t="shared" si="2"/>
        <v>0</v>
      </c>
      <c r="H65" s="235">
        <f t="shared" si="4"/>
        <v>1436.73</v>
      </c>
      <c r="I65" s="236" t="str">
        <f t="shared" si="3"/>
        <v>✅  OK</v>
      </c>
      <c r="J65" s="237">
        <v>61.0</v>
      </c>
      <c r="K65" s="238"/>
    </row>
    <row r="66" ht="18.75" customHeight="1">
      <c r="A66" s="229">
        <f>DATE(Tresorerie!$E$2,1,1)+J65</f>
        <v>46084</v>
      </c>
      <c r="B66" s="230" t="str">
        <f t="shared" si="1"/>
        <v>mar.</v>
      </c>
      <c r="C66" s="231">
        <f>SUMPRODUCT((Entrées[Date]=A66)*IF(ISNUMBER(Entrées[Montant TTC]),Entrées[Montant TTC],0))</f>
        <v>0</v>
      </c>
      <c r="D66" s="232">
        <f>SUMPRODUCT((Prévisions[0]=A66)*IF(Prévisions[E / S]="Entrée",IF(ISNUMBER(Prévisions[Coût TTC]),Prévisions[Coût TTC],0),0))</f>
        <v>0</v>
      </c>
      <c r="E66" s="233">
        <f>SUMPRODUCT((Sorties[Date]=A66)*IF(ISNUMBER(Sorties[Coût TTC]),Sorties[Coût TTC],0))</f>
        <v>0</v>
      </c>
      <c r="F66" s="232">
        <f>SUMPRODUCT((Prévisions[0]=A66)*IF(Prévisions[E / S]="Sortie",IF(ISNUMBER(Prévisions[Coût TTC]),Prévisions[Coût TTC],0),0))</f>
        <v>0</v>
      </c>
      <c r="G66" s="234">
        <f t="shared" si="2"/>
        <v>0</v>
      </c>
      <c r="H66" s="235">
        <f t="shared" si="4"/>
        <v>1436.73</v>
      </c>
      <c r="I66" s="236" t="str">
        <f t="shared" si="3"/>
        <v>✅  OK</v>
      </c>
      <c r="J66" s="237">
        <v>62.0</v>
      </c>
      <c r="K66" s="238"/>
    </row>
    <row r="67" ht="18.75" customHeight="1">
      <c r="A67" s="229">
        <f>DATE(Tresorerie!$E$2,1,1)+J66</f>
        <v>46085</v>
      </c>
      <c r="B67" s="230" t="str">
        <f t="shared" si="1"/>
        <v>mer.</v>
      </c>
      <c r="C67" s="231">
        <f>SUMPRODUCT((Entrées[Date]=A67)*IF(ISNUMBER(Entrées[Montant TTC]),Entrées[Montant TTC],0))</f>
        <v>0</v>
      </c>
      <c r="D67" s="232">
        <f>SUMPRODUCT((Prévisions[0]=A67)*IF(Prévisions[E / S]="Entrée",IF(ISNUMBER(Prévisions[Coût TTC]),Prévisions[Coût TTC],0),0))</f>
        <v>0</v>
      </c>
      <c r="E67" s="233">
        <f>SUMPRODUCT((Sorties[Date]=A67)*IF(ISNUMBER(Sorties[Coût TTC]),Sorties[Coût TTC],0))</f>
        <v>13</v>
      </c>
      <c r="F67" s="232">
        <f>SUMPRODUCT((Prévisions[0]=A67)*IF(Prévisions[E / S]="Sortie",IF(ISNUMBER(Prévisions[Coût TTC]),Prévisions[Coût TTC],0),0))</f>
        <v>0</v>
      </c>
      <c r="G67" s="234">
        <f t="shared" si="2"/>
        <v>-13</v>
      </c>
      <c r="H67" s="235">
        <f t="shared" si="4"/>
        <v>1423.73</v>
      </c>
      <c r="I67" s="236" t="str">
        <f t="shared" si="3"/>
        <v>✅  OK</v>
      </c>
      <c r="J67" s="237">
        <v>63.0</v>
      </c>
      <c r="K67" s="238"/>
    </row>
    <row r="68" ht="18.75" customHeight="1">
      <c r="A68" s="229">
        <f>DATE(Tresorerie!$E$2,1,1)+J67</f>
        <v>46086</v>
      </c>
      <c r="B68" s="230" t="str">
        <f t="shared" si="1"/>
        <v>jeu.</v>
      </c>
      <c r="C68" s="231">
        <f>SUMPRODUCT((Entrées[Date]=A68)*IF(ISNUMBER(Entrées[Montant TTC]),Entrées[Montant TTC],0))</f>
        <v>314.84</v>
      </c>
      <c r="D68" s="232">
        <f>SUMPRODUCT((Prévisions[0]=A68)*IF(Prévisions[E / S]="Entrée",IF(ISNUMBER(Prévisions[Coût TTC]),Prévisions[Coût TTC],0),0))</f>
        <v>0</v>
      </c>
      <c r="E68" s="233">
        <f>SUMPRODUCT((Sorties[Date]=A68)*IF(ISNUMBER(Sorties[Coût TTC]),Sorties[Coût TTC],0))</f>
        <v>0</v>
      </c>
      <c r="F68" s="232">
        <f>SUMPRODUCT((Prévisions[0]=A68)*IF(Prévisions[E / S]="Sortie",IF(ISNUMBER(Prévisions[Coût TTC]),Prévisions[Coût TTC],0),0))</f>
        <v>0</v>
      </c>
      <c r="G68" s="234">
        <f t="shared" si="2"/>
        <v>314.84</v>
      </c>
      <c r="H68" s="235">
        <f t="shared" si="4"/>
        <v>1738.57</v>
      </c>
      <c r="I68" s="236" t="str">
        <f t="shared" si="3"/>
        <v>✅  OK</v>
      </c>
      <c r="J68" s="237">
        <v>64.0</v>
      </c>
      <c r="K68" s="238"/>
    </row>
    <row r="69" ht="18.75" customHeight="1">
      <c r="A69" s="229">
        <f>DATE(Tresorerie!$E$2,1,1)+J68</f>
        <v>46087</v>
      </c>
      <c r="B69" s="230" t="str">
        <f t="shared" si="1"/>
        <v>ven.</v>
      </c>
      <c r="C69" s="231">
        <f>SUMPRODUCT((Entrées[Date]=A69)*IF(ISNUMBER(Entrées[Montant TTC]),Entrées[Montant TTC],0))</f>
        <v>0</v>
      </c>
      <c r="D69" s="232">
        <f>SUMPRODUCT((Prévisions[0]=A69)*IF(Prévisions[E / S]="Entrée",IF(ISNUMBER(Prévisions[Coût TTC]),Prévisions[Coût TTC],0),0))</f>
        <v>0</v>
      </c>
      <c r="E69" s="233">
        <f>SUMPRODUCT((Sorties[Date]=A69)*IF(ISNUMBER(Sorties[Coût TTC]),Sorties[Coût TTC],0))</f>
        <v>72.9</v>
      </c>
      <c r="F69" s="232">
        <f>SUMPRODUCT((Prévisions[0]=A69)*IF(Prévisions[E / S]="Sortie",IF(ISNUMBER(Prévisions[Coût TTC]),Prévisions[Coût TTC],0),0))</f>
        <v>0</v>
      </c>
      <c r="G69" s="234">
        <f t="shared" si="2"/>
        <v>-72.9</v>
      </c>
      <c r="H69" s="235">
        <f t="shared" si="4"/>
        <v>1665.67</v>
      </c>
      <c r="I69" s="236" t="str">
        <f t="shared" si="3"/>
        <v>✅  OK</v>
      </c>
      <c r="J69" s="237">
        <v>65.0</v>
      </c>
      <c r="K69" s="238"/>
    </row>
    <row r="70" ht="18.75" customHeight="1">
      <c r="A70" s="229">
        <f>DATE(Tresorerie!$E$2,1,1)+J69</f>
        <v>46088</v>
      </c>
      <c r="B70" s="239" t="str">
        <f t="shared" si="1"/>
        <v>sam.</v>
      </c>
      <c r="C70" s="231">
        <f>SUMPRODUCT((Entrées[Date]=A70)*IF(ISNUMBER(Entrées[Montant TTC]),Entrées[Montant TTC],0))</f>
        <v>0</v>
      </c>
      <c r="D70" s="232">
        <f>SUMPRODUCT((Prévisions[0]=A70)*IF(Prévisions[E / S]="Entrée",IF(ISNUMBER(Prévisions[Coût TTC]),Prévisions[Coût TTC],0),0))</f>
        <v>0</v>
      </c>
      <c r="E70" s="233">
        <f>SUMPRODUCT((Sorties[Date]=A70)*IF(ISNUMBER(Sorties[Coût TTC]),Sorties[Coût TTC],0))</f>
        <v>0</v>
      </c>
      <c r="F70" s="232">
        <f>SUMPRODUCT((Prévisions[0]=A70)*IF(Prévisions[E / S]="Sortie",IF(ISNUMBER(Prévisions[Coût TTC]),Prévisions[Coût TTC],0),0))</f>
        <v>0</v>
      </c>
      <c r="G70" s="234">
        <f t="shared" si="2"/>
        <v>0</v>
      </c>
      <c r="H70" s="235">
        <f t="shared" si="4"/>
        <v>1665.67</v>
      </c>
      <c r="I70" s="236" t="str">
        <f t="shared" si="3"/>
        <v>✅  OK</v>
      </c>
      <c r="J70" s="237">
        <v>66.0</v>
      </c>
      <c r="K70" s="238"/>
    </row>
    <row r="71" ht="18.75" customHeight="1">
      <c r="A71" s="229">
        <f>DATE(Tresorerie!$E$2,1,1)+J70</f>
        <v>46089</v>
      </c>
      <c r="B71" s="239" t="str">
        <f t="shared" si="1"/>
        <v>dim.</v>
      </c>
      <c r="C71" s="231">
        <f>SUMPRODUCT((Entrées[Date]=A71)*IF(ISNUMBER(Entrées[Montant TTC]),Entrées[Montant TTC],0))</f>
        <v>0</v>
      </c>
      <c r="D71" s="232">
        <f>SUMPRODUCT((Prévisions[0]=A71)*IF(Prévisions[E / S]="Entrée",IF(ISNUMBER(Prévisions[Coût TTC]),Prévisions[Coût TTC],0),0))</f>
        <v>0</v>
      </c>
      <c r="E71" s="233">
        <f>SUMPRODUCT((Sorties[Date]=A71)*IF(ISNUMBER(Sorties[Coût TTC]),Sorties[Coût TTC],0))</f>
        <v>1327.5</v>
      </c>
      <c r="F71" s="232">
        <f>SUMPRODUCT((Prévisions[0]=A71)*IF(Prévisions[E / S]="Sortie",IF(ISNUMBER(Prévisions[Coût TTC]),Prévisions[Coût TTC],0),0))</f>
        <v>0</v>
      </c>
      <c r="G71" s="234">
        <f t="shared" si="2"/>
        <v>-1327.5</v>
      </c>
      <c r="H71" s="235">
        <f t="shared" si="4"/>
        <v>338.17</v>
      </c>
      <c r="I71" s="236" t="str">
        <f t="shared" si="3"/>
        <v>⚡  Solde faible</v>
      </c>
      <c r="J71" s="237">
        <v>67.0</v>
      </c>
      <c r="K71" s="238"/>
    </row>
    <row r="72" ht="18.75" customHeight="1">
      <c r="A72" s="229">
        <f>DATE(Tresorerie!$E$2,1,1)+J71</f>
        <v>46090</v>
      </c>
      <c r="B72" s="240" t="str">
        <f t="shared" si="1"/>
        <v>lun.</v>
      </c>
      <c r="C72" s="231">
        <f>SUMPRODUCT((Entrées[Date]=A72)*IF(ISNUMBER(Entrées[Montant TTC]),Entrées[Montant TTC],0))</f>
        <v>0</v>
      </c>
      <c r="D72" s="232">
        <f>SUMPRODUCT((Prévisions[0]=A72)*IF(Prévisions[E / S]="Entrée",IF(ISNUMBER(Prévisions[Coût TTC]),Prévisions[Coût TTC],0),0))</f>
        <v>0</v>
      </c>
      <c r="E72" s="233">
        <f>SUMPRODUCT((Sorties[Date]=A72)*IF(ISNUMBER(Sorties[Coût TTC]),Sorties[Coût TTC],0))</f>
        <v>0</v>
      </c>
      <c r="F72" s="232">
        <f>SUMPRODUCT((Prévisions[0]=A72)*IF(Prévisions[E / S]="Sortie",IF(ISNUMBER(Prévisions[Coût TTC]),Prévisions[Coût TTC],0),0))</f>
        <v>0</v>
      </c>
      <c r="G72" s="234">
        <f t="shared" si="2"/>
        <v>0</v>
      </c>
      <c r="H72" s="235">
        <f t="shared" si="4"/>
        <v>338.17</v>
      </c>
      <c r="I72" s="236" t="str">
        <f t="shared" si="3"/>
        <v>⚡  Solde faible</v>
      </c>
      <c r="J72" s="237">
        <v>68.0</v>
      </c>
      <c r="K72" s="238"/>
    </row>
    <row r="73" ht="18.75" customHeight="1">
      <c r="A73" s="229">
        <f>DATE(Tresorerie!$E$2,1,1)+J72</f>
        <v>46091</v>
      </c>
      <c r="B73" s="230" t="str">
        <f t="shared" si="1"/>
        <v>mar.</v>
      </c>
      <c r="C73" s="231">
        <f>SUMPRODUCT((Entrées[Date]=A73)*IF(ISNUMBER(Entrées[Montant TTC]),Entrées[Montant TTC],0))</f>
        <v>0</v>
      </c>
      <c r="D73" s="232">
        <f>SUMPRODUCT((Prévisions[0]=A73)*IF(Prévisions[E / S]="Entrée",IF(ISNUMBER(Prévisions[Coût TTC]),Prévisions[Coût TTC],0),0))</f>
        <v>0</v>
      </c>
      <c r="E73" s="233">
        <f>SUMPRODUCT((Sorties[Date]=A73)*IF(ISNUMBER(Sorties[Coût TTC]),Sorties[Coût TTC],0))</f>
        <v>0</v>
      </c>
      <c r="F73" s="232">
        <f>SUMPRODUCT((Prévisions[0]=A73)*IF(Prévisions[E / S]="Sortie",IF(ISNUMBER(Prévisions[Coût TTC]),Prévisions[Coût TTC],0),0))</f>
        <v>0</v>
      </c>
      <c r="G73" s="234">
        <f t="shared" si="2"/>
        <v>0</v>
      </c>
      <c r="H73" s="235">
        <f t="shared" si="4"/>
        <v>338.17</v>
      </c>
      <c r="I73" s="236" t="str">
        <f t="shared" si="3"/>
        <v>⚡  Solde faible</v>
      </c>
      <c r="J73" s="237">
        <v>69.0</v>
      </c>
      <c r="K73" s="238"/>
    </row>
    <row r="74" ht="18.75" customHeight="1">
      <c r="A74" s="229">
        <f>DATE(Tresorerie!$E$2,1,1)+J73</f>
        <v>46092</v>
      </c>
      <c r="B74" s="230" t="str">
        <f t="shared" si="1"/>
        <v>mer.</v>
      </c>
      <c r="C74" s="231">
        <f>SUMPRODUCT((Entrées[Date]=A74)*IF(ISNUMBER(Entrées[Montant TTC]),Entrées[Montant TTC],0))</f>
        <v>0</v>
      </c>
      <c r="D74" s="232">
        <f>SUMPRODUCT((Prévisions[0]=A74)*IF(Prévisions[E / S]="Entrée",IF(ISNUMBER(Prévisions[Coût TTC]),Prévisions[Coût TTC],0),0))</f>
        <v>0</v>
      </c>
      <c r="E74" s="233">
        <f>SUMPRODUCT((Sorties[Date]=A74)*IF(ISNUMBER(Sorties[Coût TTC]),Sorties[Coût TTC],0))</f>
        <v>0</v>
      </c>
      <c r="F74" s="232">
        <f>SUMPRODUCT((Prévisions[0]=A74)*IF(Prévisions[E / S]="Sortie",IF(ISNUMBER(Prévisions[Coût TTC]),Prévisions[Coût TTC],0),0))</f>
        <v>0</v>
      </c>
      <c r="G74" s="234">
        <f t="shared" si="2"/>
        <v>0</v>
      </c>
      <c r="H74" s="235">
        <f t="shared" si="4"/>
        <v>338.17</v>
      </c>
      <c r="I74" s="236" t="str">
        <f t="shared" si="3"/>
        <v>⚡  Solde faible</v>
      </c>
      <c r="J74" s="237">
        <v>70.0</v>
      </c>
      <c r="K74" s="238"/>
    </row>
    <row r="75" ht="18.75" customHeight="1">
      <c r="A75" s="229">
        <f>DATE(Tresorerie!$E$2,1,1)+J74</f>
        <v>46093</v>
      </c>
      <c r="B75" s="230" t="str">
        <f t="shared" si="1"/>
        <v>jeu.</v>
      </c>
      <c r="C75" s="231">
        <f>SUMPRODUCT((Entrées[Date]=A75)*IF(ISNUMBER(Entrées[Montant TTC]),Entrées[Montant TTC],0))</f>
        <v>0</v>
      </c>
      <c r="D75" s="232">
        <f>SUMPRODUCT((Prévisions[0]=A75)*IF(Prévisions[E / S]="Entrée",IF(ISNUMBER(Prévisions[Coût TTC]),Prévisions[Coût TTC],0),0))</f>
        <v>0</v>
      </c>
      <c r="E75" s="233">
        <f>SUMPRODUCT((Sorties[Date]=A75)*IF(ISNUMBER(Sorties[Coût TTC]),Sorties[Coût TTC],0))</f>
        <v>0</v>
      </c>
      <c r="F75" s="232">
        <f>SUMPRODUCT((Prévisions[0]=A75)*IF(Prévisions[E / S]="Sortie",IF(ISNUMBER(Prévisions[Coût TTC]),Prévisions[Coût TTC],0),0))</f>
        <v>0</v>
      </c>
      <c r="G75" s="234">
        <f t="shared" si="2"/>
        <v>0</v>
      </c>
      <c r="H75" s="235">
        <f t="shared" si="4"/>
        <v>338.17</v>
      </c>
      <c r="I75" s="236" t="str">
        <f t="shared" si="3"/>
        <v>⚡  Solde faible</v>
      </c>
      <c r="J75" s="237">
        <v>71.0</v>
      </c>
      <c r="K75" s="238"/>
    </row>
    <row r="76" ht="18.75" customHeight="1">
      <c r="A76" s="229">
        <f>DATE(Tresorerie!$E$2,1,1)+J75</f>
        <v>46094</v>
      </c>
      <c r="B76" s="230" t="str">
        <f t="shared" si="1"/>
        <v>ven.</v>
      </c>
      <c r="C76" s="231">
        <f>SUMPRODUCT((Entrées[Date]=A76)*IF(ISNUMBER(Entrées[Montant TTC]),Entrées[Montant TTC],0))</f>
        <v>865</v>
      </c>
      <c r="D76" s="232">
        <f>SUMPRODUCT((Prévisions[0]=A76)*IF(Prévisions[E / S]="Entrée",IF(ISNUMBER(Prévisions[Coût TTC]),Prévisions[Coût TTC],0),0))</f>
        <v>0</v>
      </c>
      <c r="E76" s="233">
        <f>SUMPRODUCT((Sorties[Date]=A76)*IF(ISNUMBER(Sorties[Coût TTC]),Sorties[Coût TTC],0))</f>
        <v>0</v>
      </c>
      <c r="F76" s="232">
        <f>SUMPRODUCT((Prévisions[0]=A76)*IF(Prévisions[E / S]="Sortie",IF(ISNUMBER(Prévisions[Coût TTC]),Prévisions[Coût TTC],0),0))</f>
        <v>0</v>
      </c>
      <c r="G76" s="234">
        <f t="shared" si="2"/>
        <v>865</v>
      </c>
      <c r="H76" s="235">
        <f t="shared" si="4"/>
        <v>1203.17</v>
      </c>
      <c r="I76" s="236" t="str">
        <f t="shared" si="3"/>
        <v>✅  OK</v>
      </c>
      <c r="J76" s="237">
        <v>72.0</v>
      </c>
      <c r="K76" s="238"/>
    </row>
    <row r="77" ht="18.75" customHeight="1">
      <c r="A77" s="229">
        <f>DATE(Tresorerie!$E$2,1,1)+J76</f>
        <v>46095</v>
      </c>
      <c r="B77" s="239" t="str">
        <f t="shared" si="1"/>
        <v>sam.</v>
      </c>
      <c r="C77" s="231">
        <f>SUMPRODUCT((Entrées[Date]=A77)*IF(ISNUMBER(Entrées[Montant TTC]),Entrées[Montant TTC],0))</f>
        <v>0</v>
      </c>
      <c r="D77" s="232">
        <f>SUMPRODUCT((Prévisions[0]=A77)*IF(Prévisions[E / S]="Entrée",IF(ISNUMBER(Prévisions[Coût TTC]),Prévisions[Coût TTC],0),0))</f>
        <v>0</v>
      </c>
      <c r="E77" s="233">
        <f>SUMPRODUCT((Sorties[Date]=A77)*IF(ISNUMBER(Sorties[Coût TTC]),Sorties[Coût TTC],0))</f>
        <v>0</v>
      </c>
      <c r="F77" s="232">
        <f>SUMPRODUCT((Prévisions[0]=A77)*IF(Prévisions[E / S]="Sortie",IF(ISNUMBER(Prévisions[Coût TTC]),Prévisions[Coût TTC],0),0))</f>
        <v>0</v>
      </c>
      <c r="G77" s="234">
        <f t="shared" si="2"/>
        <v>0</v>
      </c>
      <c r="H77" s="235">
        <f t="shared" si="4"/>
        <v>1203.17</v>
      </c>
      <c r="I77" s="236" t="str">
        <f t="shared" si="3"/>
        <v>✅  OK</v>
      </c>
      <c r="J77" s="237">
        <v>73.0</v>
      </c>
      <c r="K77" s="238"/>
    </row>
    <row r="78" ht="18.75" customHeight="1">
      <c r="A78" s="229">
        <f>DATE(Tresorerie!$E$2,1,1)+J77</f>
        <v>46096</v>
      </c>
      <c r="B78" s="239" t="str">
        <f t="shared" si="1"/>
        <v>dim.</v>
      </c>
      <c r="C78" s="231">
        <f>SUMPRODUCT((Entrées[Date]=A78)*IF(ISNUMBER(Entrées[Montant TTC]),Entrées[Montant TTC],0))</f>
        <v>0</v>
      </c>
      <c r="D78" s="232">
        <f>SUMPRODUCT((Prévisions[0]=A78)*IF(Prévisions[E / S]="Entrée",IF(ISNUMBER(Prévisions[Coût TTC]),Prévisions[Coût TTC],0),0))</f>
        <v>0</v>
      </c>
      <c r="E78" s="233">
        <f>SUMPRODUCT((Sorties[Date]=A78)*IF(ISNUMBER(Sorties[Coût TTC]),Sorties[Coût TTC],0))</f>
        <v>2.99</v>
      </c>
      <c r="F78" s="232">
        <f>SUMPRODUCT((Prévisions[0]=A78)*IF(Prévisions[E / S]="Sortie",IF(ISNUMBER(Prévisions[Coût TTC]),Prévisions[Coût TTC],0),0))</f>
        <v>0</v>
      </c>
      <c r="G78" s="234">
        <f t="shared" si="2"/>
        <v>-2.99</v>
      </c>
      <c r="H78" s="235">
        <f t="shared" si="4"/>
        <v>1200.18</v>
      </c>
      <c r="I78" s="236" t="str">
        <f t="shared" si="3"/>
        <v>✅  OK</v>
      </c>
      <c r="J78" s="237">
        <v>74.0</v>
      </c>
      <c r="K78" s="238"/>
    </row>
    <row r="79" ht="18.75" customHeight="1">
      <c r="A79" s="229">
        <f>DATE(Tresorerie!$E$2,1,1)+J78</f>
        <v>46097</v>
      </c>
      <c r="B79" s="240" t="str">
        <f t="shared" si="1"/>
        <v>lun.</v>
      </c>
      <c r="C79" s="231">
        <f>SUMPRODUCT((Entrées[Date]=A79)*IF(ISNUMBER(Entrées[Montant TTC]),Entrées[Montant TTC],0))</f>
        <v>0</v>
      </c>
      <c r="D79" s="232">
        <f>SUMPRODUCT((Prévisions[0]=A79)*IF(Prévisions[E / S]="Entrée",IF(ISNUMBER(Prévisions[Coût TTC]),Prévisions[Coût TTC],0),0))</f>
        <v>0</v>
      </c>
      <c r="E79" s="233">
        <f>SUMPRODUCT((Sorties[Date]=A79)*IF(ISNUMBER(Sorties[Coût TTC]),Sorties[Coût TTC],0))</f>
        <v>0</v>
      </c>
      <c r="F79" s="232">
        <f>SUMPRODUCT((Prévisions[0]=A79)*IF(Prévisions[E / S]="Sortie",IF(ISNUMBER(Prévisions[Coût TTC]),Prévisions[Coût TTC],0),0))</f>
        <v>0</v>
      </c>
      <c r="G79" s="234">
        <f t="shared" si="2"/>
        <v>0</v>
      </c>
      <c r="H79" s="235">
        <f t="shared" si="4"/>
        <v>1200.18</v>
      </c>
      <c r="I79" s="236" t="str">
        <f t="shared" si="3"/>
        <v>✅  OK</v>
      </c>
      <c r="J79" s="237">
        <v>75.0</v>
      </c>
      <c r="K79" s="238"/>
    </row>
    <row r="80" ht="18.75" customHeight="1">
      <c r="A80" s="229">
        <f>DATE(Tresorerie!$E$2,1,1)+J79</f>
        <v>46098</v>
      </c>
      <c r="B80" s="230" t="str">
        <f t="shared" si="1"/>
        <v>mar.</v>
      </c>
      <c r="C80" s="231">
        <f>SUMPRODUCT((Entrées[Date]=A80)*IF(ISNUMBER(Entrées[Montant TTC]),Entrées[Montant TTC],0))</f>
        <v>0</v>
      </c>
      <c r="D80" s="232">
        <f>SUMPRODUCT((Prévisions[0]=A80)*IF(Prévisions[E / S]="Entrée",IF(ISNUMBER(Prévisions[Coût TTC]),Prévisions[Coût TTC],0),0))</f>
        <v>0</v>
      </c>
      <c r="E80" s="233">
        <f>SUMPRODUCT((Sorties[Date]=A80)*IF(ISNUMBER(Sorties[Coût TTC]),Sorties[Coût TTC],0))</f>
        <v>0</v>
      </c>
      <c r="F80" s="232">
        <f>SUMPRODUCT((Prévisions[0]=A80)*IF(Prévisions[E / S]="Sortie",IF(ISNUMBER(Prévisions[Coût TTC]),Prévisions[Coût TTC],0),0))</f>
        <v>0</v>
      </c>
      <c r="G80" s="234">
        <f t="shared" si="2"/>
        <v>0</v>
      </c>
      <c r="H80" s="235">
        <f t="shared" si="4"/>
        <v>1200.18</v>
      </c>
      <c r="I80" s="236" t="str">
        <f t="shared" si="3"/>
        <v>✅  OK</v>
      </c>
      <c r="J80" s="237">
        <v>76.0</v>
      </c>
      <c r="K80" s="238"/>
    </row>
    <row r="81" ht="18.75" customHeight="1">
      <c r="A81" s="229">
        <f>DATE(Tresorerie!$E$2,1,1)+J80</f>
        <v>46099</v>
      </c>
      <c r="B81" s="230" t="str">
        <f t="shared" si="1"/>
        <v>mer.</v>
      </c>
      <c r="C81" s="231">
        <f>SUMPRODUCT((Entrées[Date]=A81)*IF(ISNUMBER(Entrées[Montant TTC]),Entrées[Montant TTC],0))</f>
        <v>0</v>
      </c>
      <c r="D81" s="232">
        <f>SUMPRODUCT((Prévisions[0]=A81)*IF(Prévisions[E / S]="Entrée",IF(ISNUMBER(Prévisions[Coût TTC]),Prévisions[Coût TTC],0),0))</f>
        <v>0</v>
      </c>
      <c r="E81" s="233">
        <f>SUMPRODUCT((Sorties[Date]=A81)*IF(ISNUMBER(Sorties[Coût TTC]),Sorties[Coût TTC],0))</f>
        <v>0</v>
      </c>
      <c r="F81" s="232">
        <f>SUMPRODUCT((Prévisions[0]=A81)*IF(Prévisions[E / S]="Sortie",IF(ISNUMBER(Prévisions[Coût TTC]),Prévisions[Coût TTC],0),0))</f>
        <v>0</v>
      </c>
      <c r="G81" s="234">
        <f t="shared" si="2"/>
        <v>0</v>
      </c>
      <c r="H81" s="235">
        <f t="shared" si="4"/>
        <v>1200.18</v>
      </c>
      <c r="I81" s="236" t="str">
        <f t="shared" si="3"/>
        <v>✅  OK</v>
      </c>
      <c r="J81" s="237">
        <v>77.0</v>
      </c>
      <c r="K81" s="238"/>
    </row>
    <row r="82" ht="18.75" customHeight="1">
      <c r="A82" s="229">
        <f>DATE(Tresorerie!$E$2,1,1)+J81</f>
        <v>46100</v>
      </c>
      <c r="B82" s="230" t="str">
        <f t="shared" si="1"/>
        <v>jeu.</v>
      </c>
      <c r="C82" s="231">
        <f>SUMPRODUCT((Entrées[Date]=A82)*IF(ISNUMBER(Entrées[Montant TTC]),Entrées[Montant TTC],0))</f>
        <v>0</v>
      </c>
      <c r="D82" s="232">
        <f>SUMPRODUCT((Prévisions[0]=A82)*IF(Prévisions[E / S]="Entrée",IF(ISNUMBER(Prévisions[Coût TTC]),Prévisions[Coût TTC],0),0))</f>
        <v>0</v>
      </c>
      <c r="E82" s="233">
        <f>SUMPRODUCT((Sorties[Date]=A82)*IF(ISNUMBER(Sorties[Coût TTC]),Sorties[Coût TTC],0))</f>
        <v>0</v>
      </c>
      <c r="F82" s="232">
        <f>SUMPRODUCT((Prévisions[0]=A82)*IF(Prévisions[E / S]="Sortie",IF(ISNUMBER(Prévisions[Coût TTC]),Prévisions[Coût TTC],0),0))</f>
        <v>0</v>
      </c>
      <c r="G82" s="234">
        <f t="shared" si="2"/>
        <v>0</v>
      </c>
      <c r="H82" s="235">
        <f t="shared" si="4"/>
        <v>1200.18</v>
      </c>
      <c r="I82" s="236" t="str">
        <f t="shared" si="3"/>
        <v>✅  OK</v>
      </c>
      <c r="J82" s="237">
        <v>78.0</v>
      </c>
      <c r="K82" s="238"/>
    </row>
    <row r="83" ht="18.75" customHeight="1">
      <c r="A83" s="229">
        <f>DATE(Tresorerie!$E$2,1,1)+J82</f>
        <v>46101</v>
      </c>
      <c r="B83" s="230" t="str">
        <f t="shared" si="1"/>
        <v>ven.</v>
      </c>
      <c r="C83" s="231">
        <f>SUMPRODUCT((Entrées[Date]=A83)*IF(ISNUMBER(Entrées[Montant TTC]),Entrées[Montant TTC],0))</f>
        <v>0</v>
      </c>
      <c r="D83" s="232">
        <f>SUMPRODUCT((Prévisions[0]=A83)*IF(Prévisions[E / S]="Entrée",IF(ISNUMBER(Prévisions[Coût TTC]),Prévisions[Coût TTC],0),0))</f>
        <v>0</v>
      </c>
      <c r="E83" s="233">
        <f>SUMPRODUCT((Sorties[Date]=A83)*IF(ISNUMBER(Sorties[Coût TTC]),Sorties[Coût TTC],0))</f>
        <v>0</v>
      </c>
      <c r="F83" s="232">
        <f>SUMPRODUCT((Prévisions[0]=A83)*IF(Prévisions[E / S]="Sortie",IF(ISNUMBER(Prévisions[Coût TTC]),Prévisions[Coût TTC],0),0))</f>
        <v>0</v>
      </c>
      <c r="G83" s="234">
        <f t="shared" si="2"/>
        <v>0</v>
      </c>
      <c r="H83" s="235">
        <f t="shared" si="4"/>
        <v>1200.18</v>
      </c>
      <c r="I83" s="236" t="str">
        <f t="shared" si="3"/>
        <v>✅  OK</v>
      </c>
      <c r="J83" s="237">
        <v>79.0</v>
      </c>
      <c r="K83" s="238"/>
    </row>
    <row r="84" ht="18.75" customHeight="1">
      <c r="A84" s="229">
        <f>DATE(Tresorerie!$E$2,1,1)+J83</f>
        <v>46102</v>
      </c>
      <c r="B84" s="239" t="str">
        <f t="shared" si="1"/>
        <v>sam.</v>
      </c>
      <c r="C84" s="231">
        <f>SUMPRODUCT((Entrées[Date]=A84)*IF(ISNUMBER(Entrées[Montant TTC]),Entrées[Montant TTC],0))</f>
        <v>0</v>
      </c>
      <c r="D84" s="232">
        <f>SUMPRODUCT((Prévisions[0]=A84)*IF(Prévisions[E / S]="Entrée",IF(ISNUMBER(Prévisions[Coût TTC]),Prévisions[Coût TTC],0),0))</f>
        <v>0</v>
      </c>
      <c r="E84" s="233">
        <f>SUMPRODUCT((Sorties[Date]=A84)*IF(ISNUMBER(Sorties[Coût TTC]),Sorties[Coût TTC],0))</f>
        <v>0</v>
      </c>
      <c r="F84" s="232">
        <f>SUMPRODUCT((Prévisions[0]=A84)*IF(Prévisions[E / S]="Sortie",IF(ISNUMBER(Prévisions[Coût TTC]),Prévisions[Coût TTC],0),0))</f>
        <v>0</v>
      </c>
      <c r="G84" s="234">
        <f t="shared" si="2"/>
        <v>0</v>
      </c>
      <c r="H84" s="235">
        <f t="shared" si="4"/>
        <v>1200.18</v>
      </c>
      <c r="I84" s="236" t="str">
        <f t="shared" si="3"/>
        <v>✅  OK</v>
      </c>
      <c r="J84" s="237">
        <v>80.0</v>
      </c>
      <c r="K84" s="238"/>
    </row>
    <row r="85" ht="18.75" customHeight="1">
      <c r="A85" s="229">
        <f>DATE(Tresorerie!$E$2,1,1)+J84</f>
        <v>46103</v>
      </c>
      <c r="B85" s="239" t="str">
        <f t="shared" si="1"/>
        <v>dim.</v>
      </c>
      <c r="C85" s="231">
        <f>SUMPRODUCT((Entrées[Date]=A85)*IF(ISNUMBER(Entrées[Montant TTC]),Entrées[Montant TTC],0))</f>
        <v>0</v>
      </c>
      <c r="D85" s="232">
        <f>SUMPRODUCT((Prévisions[0]=A85)*IF(Prévisions[E / S]="Entrée",IF(ISNUMBER(Prévisions[Coût TTC]),Prévisions[Coût TTC],0),0))</f>
        <v>0</v>
      </c>
      <c r="E85" s="233">
        <f>SUMPRODUCT((Sorties[Date]=A85)*IF(ISNUMBER(Sorties[Coût TTC]),Sorties[Coût TTC],0))</f>
        <v>0</v>
      </c>
      <c r="F85" s="232">
        <f>SUMPRODUCT((Prévisions[0]=A85)*IF(Prévisions[E / S]="Sortie",IF(ISNUMBER(Prévisions[Coût TTC]),Prévisions[Coût TTC],0),0))</f>
        <v>0</v>
      </c>
      <c r="G85" s="234">
        <f t="shared" si="2"/>
        <v>0</v>
      </c>
      <c r="H85" s="235">
        <f t="shared" si="4"/>
        <v>1200.18</v>
      </c>
      <c r="I85" s="236" t="str">
        <f t="shared" si="3"/>
        <v>✅  OK</v>
      </c>
      <c r="J85" s="237">
        <v>81.0</v>
      </c>
      <c r="K85" s="238"/>
    </row>
    <row r="86" ht="18.75" customHeight="1">
      <c r="A86" s="229">
        <f>DATE(Tresorerie!$E$2,1,1)+J85</f>
        <v>46104</v>
      </c>
      <c r="B86" s="240" t="str">
        <f t="shared" si="1"/>
        <v>lun.</v>
      </c>
      <c r="C86" s="231">
        <f>SUMPRODUCT((Entrées[Date]=A86)*IF(ISNUMBER(Entrées[Montant TTC]),Entrées[Montant TTC],0))</f>
        <v>0</v>
      </c>
      <c r="D86" s="232">
        <f>SUMPRODUCT((Prévisions[0]=A86)*IF(Prévisions[E / S]="Entrée",IF(ISNUMBER(Prévisions[Coût TTC]),Prévisions[Coût TTC],0),0))</f>
        <v>0</v>
      </c>
      <c r="E86" s="233">
        <f>SUMPRODUCT((Sorties[Date]=A86)*IF(ISNUMBER(Sorties[Coût TTC]),Sorties[Coût TTC],0))</f>
        <v>0</v>
      </c>
      <c r="F86" s="232">
        <f>SUMPRODUCT((Prévisions[0]=A86)*IF(Prévisions[E / S]="Sortie",IF(ISNUMBER(Prévisions[Coût TTC]),Prévisions[Coût TTC],0),0))</f>
        <v>0</v>
      </c>
      <c r="G86" s="234">
        <f t="shared" si="2"/>
        <v>0</v>
      </c>
      <c r="H86" s="235">
        <f t="shared" si="4"/>
        <v>1200.18</v>
      </c>
      <c r="I86" s="236" t="str">
        <f t="shared" si="3"/>
        <v>✅  OK</v>
      </c>
      <c r="J86" s="237">
        <v>82.0</v>
      </c>
      <c r="K86" s="238"/>
    </row>
    <row r="87" ht="18.75" customHeight="1">
      <c r="A87" s="229">
        <f>DATE(Tresorerie!$E$2,1,1)+J86</f>
        <v>46105</v>
      </c>
      <c r="B87" s="230" t="str">
        <f t="shared" si="1"/>
        <v>mar.</v>
      </c>
      <c r="C87" s="231">
        <f>SUMPRODUCT((Entrées[Date]=A87)*IF(ISNUMBER(Entrées[Montant TTC]),Entrées[Montant TTC],0))</f>
        <v>0</v>
      </c>
      <c r="D87" s="232">
        <f>SUMPRODUCT((Prévisions[0]=A87)*IF(Prévisions[E / S]="Entrée",IF(ISNUMBER(Prévisions[Coût TTC]),Prévisions[Coût TTC],0),0))</f>
        <v>0</v>
      </c>
      <c r="E87" s="233">
        <f>SUMPRODUCT((Sorties[Date]=A87)*IF(ISNUMBER(Sorties[Coût TTC]),Sorties[Coût TTC],0))</f>
        <v>0</v>
      </c>
      <c r="F87" s="232">
        <f>SUMPRODUCT((Prévisions[0]=A87)*IF(Prévisions[E / S]="Sortie",IF(ISNUMBER(Prévisions[Coût TTC]),Prévisions[Coût TTC],0),0))</f>
        <v>0</v>
      </c>
      <c r="G87" s="234">
        <f t="shared" si="2"/>
        <v>0</v>
      </c>
      <c r="H87" s="235">
        <f t="shared" si="4"/>
        <v>1200.18</v>
      </c>
      <c r="I87" s="236" t="str">
        <f t="shared" si="3"/>
        <v>✅  OK</v>
      </c>
      <c r="J87" s="237">
        <v>83.0</v>
      </c>
      <c r="K87" s="238"/>
    </row>
    <row r="88" ht="18.75" customHeight="1">
      <c r="A88" s="229">
        <f>DATE(Tresorerie!$E$2,1,1)+J87</f>
        <v>46106</v>
      </c>
      <c r="B88" s="230" t="str">
        <f t="shared" si="1"/>
        <v>mer.</v>
      </c>
      <c r="C88" s="231">
        <f>SUMPRODUCT((Entrées[Date]=A88)*IF(ISNUMBER(Entrées[Montant TTC]),Entrées[Montant TTC],0))</f>
        <v>0</v>
      </c>
      <c r="D88" s="232">
        <f>SUMPRODUCT((Prévisions[0]=A88)*IF(Prévisions[E / S]="Entrée",IF(ISNUMBER(Prévisions[Coût TTC]),Prévisions[Coût TTC],0),0))</f>
        <v>0</v>
      </c>
      <c r="E88" s="233">
        <f>SUMPRODUCT((Sorties[Date]=A88)*IF(ISNUMBER(Sorties[Coût TTC]),Sorties[Coût TTC],0))</f>
        <v>0</v>
      </c>
      <c r="F88" s="232">
        <f>SUMPRODUCT((Prévisions[0]=A88)*IF(Prévisions[E / S]="Sortie",IF(ISNUMBER(Prévisions[Coût TTC]),Prévisions[Coût TTC],0),0))</f>
        <v>0</v>
      </c>
      <c r="G88" s="234">
        <f t="shared" si="2"/>
        <v>0</v>
      </c>
      <c r="H88" s="235">
        <f t="shared" si="4"/>
        <v>1200.18</v>
      </c>
      <c r="I88" s="236" t="str">
        <f t="shared" si="3"/>
        <v>✅  OK</v>
      </c>
      <c r="J88" s="237">
        <v>84.0</v>
      </c>
      <c r="K88" s="238"/>
    </row>
    <row r="89" ht="18.75" customHeight="1">
      <c r="A89" s="229">
        <f>DATE(Tresorerie!$E$2,1,1)+J88</f>
        <v>46107</v>
      </c>
      <c r="B89" s="230" t="str">
        <f t="shared" si="1"/>
        <v>jeu.</v>
      </c>
      <c r="C89" s="231">
        <f>SUMPRODUCT((Entrées[Date]=A89)*IF(ISNUMBER(Entrées[Montant TTC]),Entrées[Montant TTC],0))</f>
        <v>0</v>
      </c>
      <c r="D89" s="232">
        <f>SUMPRODUCT((Prévisions[0]=A89)*IF(Prévisions[E / S]="Entrée",IF(ISNUMBER(Prévisions[Coût TTC]),Prévisions[Coût TTC],0),0))</f>
        <v>0</v>
      </c>
      <c r="E89" s="233">
        <f>SUMPRODUCT((Sorties[Date]=A89)*IF(ISNUMBER(Sorties[Coût TTC]),Sorties[Coût TTC],0))</f>
        <v>0</v>
      </c>
      <c r="F89" s="232">
        <f>SUMPRODUCT((Prévisions[0]=A89)*IF(Prévisions[E / S]="Sortie",IF(ISNUMBER(Prévisions[Coût TTC]),Prévisions[Coût TTC],0),0))</f>
        <v>0</v>
      </c>
      <c r="G89" s="234">
        <f t="shared" si="2"/>
        <v>0</v>
      </c>
      <c r="H89" s="235">
        <f t="shared" si="4"/>
        <v>1200.18</v>
      </c>
      <c r="I89" s="236" t="str">
        <f t="shared" si="3"/>
        <v>✅  OK</v>
      </c>
      <c r="J89" s="237">
        <v>85.0</v>
      </c>
      <c r="K89" s="238"/>
    </row>
    <row r="90" ht="18.75" customHeight="1">
      <c r="A90" s="229">
        <f>DATE(Tresorerie!$E$2,1,1)+J89</f>
        <v>46108</v>
      </c>
      <c r="B90" s="230" t="str">
        <f t="shared" si="1"/>
        <v>ven.</v>
      </c>
      <c r="C90" s="231">
        <f>SUMPRODUCT((Entrées[Date]=A90)*IF(ISNUMBER(Entrées[Montant TTC]),Entrées[Montant TTC],0))</f>
        <v>0</v>
      </c>
      <c r="D90" s="232">
        <f>SUMPRODUCT((Prévisions[0]=A90)*IF(Prévisions[E / S]="Entrée",IF(ISNUMBER(Prévisions[Coût TTC]),Prévisions[Coût TTC],0),0))</f>
        <v>0</v>
      </c>
      <c r="E90" s="233">
        <f>SUMPRODUCT((Sorties[Date]=A90)*IF(ISNUMBER(Sorties[Coût TTC]),Sorties[Coût TTC],0))</f>
        <v>0</v>
      </c>
      <c r="F90" s="232">
        <f>SUMPRODUCT((Prévisions[0]=A90)*IF(Prévisions[E / S]="Sortie",IF(ISNUMBER(Prévisions[Coût TTC]),Prévisions[Coût TTC],0),0))</f>
        <v>0</v>
      </c>
      <c r="G90" s="234">
        <f t="shared" si="2"/>
        <v>0</v>
      </c>
      <c r="H90" s="235">
        <f t="shared" si="4"/>
        <v>1200.18</v>
      </c>
      <c r="I90" s="236" t="str">
        <f t="shared" si="3"/>
        <v>✅  OK</v>
      </c>
      <c r="J90" s="237">
        <v>86.0</v>
      </c>
      <c r="K90" s="238"/>
    </row>
    <row r="91" ht="18.75" customHeight="1">
      <c r="A91" s="229">
        <f>DATE(Tresorerie!$E$2,1,1)+J90</f>
        <v>46109</v>
      </c>
      <c r="B91" s="239" t="str">
        <f t="shared" si="1"/>
        <v>sam.</v>
      </c>
      <c r="C91" s="231">
        <f>SUMPRODUCT((Entrées[Date]=A91)*IF(ISNUMBER(Entrées[Montant TTC]),Entrées[Montant TTC],0))</f>
        <v>0</v>
      </c>
      <c r="D91" s="232">
        <f>SUMPRODUCT((Prévisions[0]=A91)*IF(Prévisions[E / S]="Entrée",IF(ISNUMBER(Prévisions[Coût TTC]),Prévisions[Coût TTC],0),0))</f>
        <v>0</v>
      </c>
      <c r="E91" s="233">
        <f>SUMPRODUCT((Sorties[Date]=A91)*IF(ISNUMBER(Sorties[Coût TTC]),Sorties[Coût TTC],0))</f>
        <v>0</v>
      </c>
      <c r="F91" s="232">
        <f>SUMPRODUCT((Prévisions[0]=A91)*IF(Prévisions[E / S]="Sortie",IF(ISNUMBER(Prévisions[Coût TTC]),Prévisions[Coût TTC],0),0))</f>
        <v>0</v>
      </c>
      <c r="G91" s="234">
        <f t="shared" si="2"/>
        <v>0</v>
      </c>
      <c r="H91" s="235">
        <f t="shared" si="4"/>
        <v>1200.18</v>
      </c>
      <c r="I91" s="236" t="str">
        <f t="shared" si="3"/>
        <v>✅  OK</v>
      </c>
      <c r="J91" s="237">
        <v>87.0</v>
      </c>
      <c r="K91" s="238"/>
    </row>
    <row r="92" ht="18.75" customHeight="1">
      <c r="A92" s="229">
        <f>DATE(Tresorerie!$E$2,1,1)+J91</f>
        <v>46110</v>
      </c>
      <c r="B92" s="239" t="str">
        <f t="shared" si="1"/>
        <v>dim.</v>
      </c>
      <c r="C92" s="231">
        <f>SUMPRODUCT((Entrées[Date]=A92)*IF(ISNUMBER(Entrées[Montant TTC]),Entrées[Montant TTC],0))</f>
        <v>0</v>
      </c>
      <c r="D92" s="232">
        <f>SUMPRODUCT((Prévisions[0]=A92)*IF(Prévisions[E / S]="Entrée",IF(ISNUMBER(Prévisions[Coût TTC]),Prévisions[Coût TTC],0),0))</f>
        <v>0</v>
      </c>
      <c r="E92" s="233">
        <f>SUMPRODUCT((Sorties[Date]=A92)*IF(ISNUMBER(Sorties[Coût TTC]),Sorties[Coût TTC],0))</f>
        <v>0</v>
      </c>
      <c r="F92" s="232">
        <f>SUMPRODUCT((Prévisions[0]=A92)*IF(Prévisions[E / S]="Sortie",IF(ISNUMBER(Prévisions[Coût TTC]),Prévisions[Coût TTC],0),0))</f>
        <v>0</v>
      </c>
      <c r="G92" s="234">
        <f t="shared" si="2"/>
        <v>0</v>
      </c>
      <c r="H92" s="235">
        <f t="shared" si="4"/>
        <v>1200.18</v>
      </c>
      <c r="I92" s="236" t="str">
        <f t="shared" si="3"/>
        <v>✅  OK</v>
      </c>
      <c r="J92" s="237">
        <v>88.0</v>
      </c>
      <c r="K92" s="238"/>
    </row>
    <row r="93" ht="18.75" customHeight="1">
      <c r="A93" s="229">
        <f>DATE(Tresorerie!$E$2,1,1)+J92</f>
        <v>46111</v>
      </c>
      <c r="B93" s="240" t="str">
        <f t="shared" si="1"/>
        <v>lun.</v>
      </c>
      <c r="C93" s="231">
        <f>SUMPRODUCT((Entrées[Date]=A93)*IF(ISNUMBER(Entrées[Montant TTC]),Entrées[Montant TTC],0))</f>
        <v>0</v>
      </c>
      <c r="D93" s="232">
        <f>SUMPRODUCT((Prévisions[0]=A93)*IF(Prévisions[E / S]="Entrée",IF(ISNUMBER(Prévisions[Coût TTC]),Prévisions[Coût TTC],0),0))</f>
        <v>0</v>
      </c>
      <c r="E93" s="233">
        <f>SUMPRODUCT((Sorties[Date]=A93)*IF(ISNUMBER(Sorties[Coût TTC]),Sorties[Coût TTC],0))</f>
        <v>0</v>
      </c>
      <c r="F93" s="232">
        <f>SUMPRODUCT((Prévisions[0]=A93)*IF(Prévisions[E / S]="Sortie",IF(ISNUMBER(Prévisions[Coût TTC]),Prévisions[Coût TTC],0),0))</f>
        <v>0</v>
      </c>
      <c r="G93" s="234">
        <f t="shared" si="2"/>
        <v>0</v>
      </c>
      <c r="H93" s="235">
        <f t="shared" si="4"/>
        <v>1200.18</v>
      </c>
      <c r="I93" s="236" t="str">
        <f t="shared" si="3"/>
        <v>✅  OK</v>
      </c>
      <c r="J93" s="237">
        <v>89.0</v>
      </c>
      <c r="K93" s="238"/>
    </row>
    <row r="94" ht="18.75" customHeight="1">
      <c r="A94" s="229">
        <f>DATE(Tresorerie!$E$2,1,1)+J93</f>
        <v>46112</v>
      </c>
      <c r="B94" s="230" t="str">
        <f t="shared" si="1"/>
        <v>mar.</v>
      </c>
      <c r="C94" s="231">
        <f>SUMPRODUCT((Entrées[Date]=A94)*IF(ISNUMBER(Entrées[Montant TTC]),Entrées[Montant TTC],0))</f>
        <v>0</v>
      </c>
      <c r="D94" s="232">
        <f>SUMPRODUCT((Prévisions[0]=A94)*IF(Prévisions[E / S]="Entrée",IF(ISNUMBER(Prévisions[Coût TTC]),Prévisions[Coût TTC],0),0))</f>
        <v>0</v>
      </c>
      <c r="E94" s="233">
        <f>SUMPRODUCT((Sorties[Date]=A94)*IF(ISNUMBER(Sorties[Coût TTC]),Sorties[Coût TTC],0))</f>
        <v>0</v>
      </c>
      <c r="F94" s="232">
        <f>SUMPRODUCT((Prévisions[0]=A94)*IF(Prévisions[E / S]="Sortie",IF(ISNUMBER(Prévisions[Coût TTC]),Prévisions[Coût TTC],0),0))</f>
        <v>0</v>
      </c>
      <c r="G94" s="234">
        <f t="shared" si="2"/>
        <v>0</v>
      </c>
      <c r="H94" s="235">
        <f t="shared" si="4"/>
        <v>1200.18</v>
      </c>
      <c r="I94" s="236" t="str">
        <f t="shared" si="3"/>
        <v>✅  OK</v>
      </c>
      <c r="J94" s="237">
        <v>90.0</v>
      </c>
      <c r="K94" s="238"/>
    </row>
    <row r="95" ht="18.75" customHeight="1">
      <c r="A95" s="229">
        <f>DATE(Tresorerie!$E$2,1,1)+J94</f>
        <v>46113</v>
      </c>
      <c r="B95" s="230" t="str">
        <f t="shared" si="1"/>
        <v>mer.</v>
      </c>
      <c r="C95" s="231">
        <f>SUMPRODUCT((Entrées[Date]=A95)*IF(ISNUMBER(Entrées[Montant TTC]),Entrées[Montant TTC],0))</f>
        <v>0</v>
      </c>
      <c r="D95" s="232">
        <f>SUMPRODUCT((Prévisions[0]=A95)*IF(Prévisions[E / S]="Entrée",IF(ISNUMBER(Prévisions[Coût TTC]),Prévisions[Coût TTC],0),0))</f>
        <v>0</v>
      </c>
      <c r="E95" s="233">
        <f>SUMPRODUCT((Sorties[Date]=A95)*IF(ISNUMBER(Sorties[Coût TTC]),Sorties[Coût TTC],0))</f>
        <v>0</v>
      </c>
      <c r="F95" s="232">
        <f>SUMPRODUCT((Prévisions[0]=A95)*IF(Prévisions[E / S]="Sortie",IF(ISNUMBER(Prévisions[Coût TTC]),Prévisions[Coût TTC],0),0))</f>
        <v>0</v>
      </c>
      <c r="G95" s="234">
        <f t="shared" si="2"/>
        <v>0</v>
      </c>
      <c r="H95" s="235">
        <f t="shared" si="4"/>
        <v>1200.18</v>
      </c>
      <c r="I95" s="236" t="str">
        <f t="shared" si="3"/>
        <v>✅  OK</v>
      </c>
      <c r="J95" s="237">
        <v>91.0</v>
      </c>
      <c r="K95" s="238"/>
    </row>
    <row r="96" ht="18.75" customHeight="1">
      <c r="A96" s="229">
        <f>DATE(Tresorerie!$E$2,1,1)+J95</f>
        <v>46114</v>
      </c>
      <c r="B96" s="230" t="str">
        <f t="shared" si="1"/>
        <v>jeu.</v>
      </c>
      <c r="C96" s="231">
        <f>SUMPRODUCT((Entrées[Date]=A96)*IF(ISNUMBER(Entrées[Montant TTC]),Entrées[Montant TTC],0))</f>
        <v>0</v>
      </c>
      <c r="D96" s="232">
        <f>SUMPRODUCT((Prévisions[0]=A96)*IF(Prévisions[E / S]="Entrée",IF(ISNUMBER(Prévisions[Coût TTC]),Prévisions[Coût TTC],0),0))</f>
        <v>0</v>
      </c>
      <c r="E96" s="233">
        <f>SUMPRODUCT((Sorties[Date]=A96)*IF(ISNUMBER(Sorties[Coût TTC]),Sorties[Coût TTC],0))</f>
        <v>0</v>
      </c>
      <c r="F96" s="232">
        <f>SUMPRODUCT((Prévisions[0]=A96)*IF(Prévisions[E / S]="Sortie",IF(ISNUMBER(Prévisions[Coût TTC]),Prévisions[Coût TTC],0),0))</f>
        <v>0</v>
      </c>
      <c r="G96" s="234">
        <f t="shared" si="2"/>
        <v>0</v>
      </c>
      <c r="H96" s="235">
        <f t="shared" si="4"/>
        <v>1200.18</v>
      </c>
      <c r="I96" s="236" t="str">
        <f t="shared" si="3"/>
        <v>✅  OK</v>
      </c>
      <c r="J96" s="237">
        <v>92.0</v>
      </c>
      <c r="K96" s="238"/>
    </row>
    <row r="97" ht="18.75" customHeight="1">
      <c r="A97" s="229">
        <f>DATE(Tresorerie!$E$2,1,1)+J96</f>
        <v>46115</v>
      </c>
      <c r="B97" s="230" t="str">
        <f t="shared" si="1"/>
        <v>ven.</v>
      </c>
      <c r="C97" s="231">
        <f>SUMPRODUCT((Entrées[Date]=A97)*IF(ISNUMBER(Entrées[Montant TTC]),Entrées[Montant TTC],0))</f>
        <v>0</v>
      </c>
      <c r="D97" s="232">
        <f>SUMPRODUCT((Prévisions[0]=A97)*IF(Prévisions[E / S]="Entrée",IF(ISNUMBER(Prévisions[Coût TTC]),Prévisions[Coût TTC],0),0))</f>
        <v>0</v>
      </c>
      <c r="E97" s="233">
        <f>SUMPRODUCT((Sorties[Date]=A97)*IF(ISNUMBER(Sorties[Coût TTC]),Sorties[Coût TTC],0))</f>
        <v>400</v>
      </c>
      <c r="F97" s="232">
        <f>SUMPRODUCT((Prévisions[0]=A97)*IF(Prévisions[E / S]="Sortie",IF(ISNUMBER(Prévisions[Coût TTC]),Prévisions[Coût TTC],0),0))</f>
        <v>0</v>
      </c>
      <c r="G97" s="234">
        <f t="shared" si="2"/>
        <v>-400</v>
      </c>
      <c r="H97" s="235">
        <f t="shared" si="4"/>
        <v>800.18</v>
      </c>
      <c r="I97" s="236" t="str">
        <f t="shared" si="3"/>
        <v>✅  OK</v>
      </c>
      <c r="J97" s="237">
        <v>93.0</v>
      </c>
      <c r="K97" s="238"/>
    </row>
    <row r="98" ht="18.75" customHeight="1">
      <c r="A98" s="229">
        <f>DATE(Tresorerie!$E$2,1,1)+J97</f>
        <v>46116</v>
      </c>
      <c r="B98" s="239" t="str">
        <f t="shared" si="1"/>
        <v>sam.</v>
      </c>
      <c r="C98" s="231">
        <f>SUMPRODUCT((Entrées[Date]=A98)*IF(ISNUMBER(Entrées[Montant TTC]),Entrées[Montant TTC],0))</f>
        <v>1000</v>
      </c>
      <c r="D98" s="232">
        <f>SUMPRODUCT((Prévisions[0]=A98)*IF(Prévisions[E / S]="Entrée",IF(ISNUMBER(Prévisions[Coût TTC]),Prévisions[Coût TTC],0),0))</f>
        <v>0</v>
      </c>
      <c r="E98" s="233">
        <f>SUMPRODUCT((Sorties[Date]=A98)*IF(ISNUMBER(Sorties[Coût TTC]),Sorties[Coût TTC],0))</f>
        <v>0</v>
      </c>
      <c r="F98" s="232">
        <f>SUMPRODUCT((Prévisions[0]=A98)*IF(Prévisions[E / S]="Sortie",IF(ISNUMBER(Prévisions[Coût TTC]),Prévisions[Coût TTC],0),0))</f>
        <v>0</v>
      </c>
      <c r="G98" s="234">
        <f t="shared" si="2"/>
        <v>1000</v>
      </c>
      <c r="H98" s="235">
        <f t="shared" si="4"/>
        <v>1800.18</v>
      </c>
      <c r="I98" s="236" t="str">
        <f t="shared" si="3"/>
        <v>✅  OK</v>
      </c>
      <c r="J98" s="237">
        <v>94.0</v>
      </c>
      <c r="K98" s="238"/>
    </row>
    <row r="99" ht="18.75" customHeight="1">
      <c r="A99" s="229">
        <f>DATE(Tresorerie!$E$2,1,1)+J98</f>
        <v>46117</v>
      </c>
      <c r="B99" s="239" t="str">
        <f t="shared" si="1"/>
        <v>dim.</v>
      </c>
      <c r="C99" s="231">
        <f>SUMPRODUCT((Entrées[Date]=A99)*IF(ISNUMBER(Entrées[Montant TTC]),Entrées[Montant TTC],0))</f>
        <v>0</v>
      </c>
      <c r="D99" s="232">
        <f>SUMPRODUCT((Prévisions[0]=A99)*IF(Prévisions[E / S]="Entrée",IF(ISNUMBER(Prévisions[Coût TTC]),Prévisions[Coût TTC],0),0))</f>
        <v>0</v>
      </c>
      <c r="E99" s="233">
        <f>SUMPRODUCT((Sorties[Date]=A99)*IF(ISNUMBER(Sorties[Coût TTC]),Sorties[Coût TTC],0))</f>
        <v>0</v>
      </c>
      <c r="F99" s="232">
        <f>SUMPRODUCT((Prévisions[0]=A99)*IF(Prévisions[E / S]="Sortie",IF(ISNUMBER(Prévisions[Coût TTC]),Prévisions[Coût TTC],0),0))</f>
        <v>0</v>
      </c>
      <c r="G99" s="234">
        <f t="shared" si="2"/>
        <v>0</v>
      </c>
      <c r="H99" s="235">
        <f t="shared" si="4"/>
        <v>1800.18</v>
      </c>
      <c r="I99" s="236" t="str">
        <f t="shared" si="3"/>
        <v>✅  OK</v>
      </c>
      <c r="J99" s="237">
        <v>95.0</v>
      </c>
      <c r="K99" s="238"/>
    </row>
    <row r="100" ht="18.75" customHeight="1">
      <c r="A100" s="229">
        <f>DATE(Tresorerie!$E$2,1,1)+J99</f>
        <v>46118</v>
      </c>
      <c r="B100" s="240" t="str">
        <f t="shared" si="1"/>
        <v>lun.</v>
      </c>
      <c r="C100" s="231">
        <f>SUMPRODUCT((Entrées[Date]=A100)*IF(ISNUMBER(Entrées[Montant TTC]),Entrées[Montant TTC],0))</f>
        <v>0</v>
      </c>
      <c r="D100" s="232">
        <f>SUMPRODUCT((Prévisions[0]=A100)*IF(Prévisions[E / S]="Entrée",IF(ISNUMBER(Prévisions[Coût TTC]),Prévisions[Coût TTC],0),0))</f>
        <v>0</v>
      </c>
      <c r="E100" s="233">
        <f>SUMPRODUCT((Sorties[Date]=A100)*IF(ISNUMBER(Sorties[Coût TTC]),Sorties[Coût TTC],0))</f>
        <v>0</v>
      </c>
      <c r="F100" s="232">
        <f>SUMPRODUCT((Prévisions[0]=A100)*IF(Prévisions[E / S]="Sortie",IF(ISNUMBER(Prévisions[Coût TTC]),Prévisions[Coût TTC],0),0))</f>
        <v>0</v>
      </c>
      <c r="G100" s="234">
        <f t="shared" si="2"/>
        <v>0</v>
      </c>
      <c r="H100" s="235">
        <f t="shared" si="4"/>
        <v>1800.18</v>
      </c>
      <c r="I100" s="236" t="str">
        <f t="shared" si="3"/>
        <v>✅  OK</v>
      </c>
      <c r="J100" s="237">
        <v>96.0</v>
      </c>
      <c r="K100" s="238"/>
    </row>
    <row r="101" ht="18.75" customHeight="1">
      <c r="A101" s="229">
        <f>DATE(Tresorerie!$E$2,1,1)+J100</f>
        <v>46119</v>
      </c>
      <c r="B101" s="230" t="str">
        <f t="shared" si="1"/>
        <v>mar.</v>
      </c>
      <c r="C101" s="231">
        <f>SUMPRODUCT((Entrées[Date]=A101)*IF(ISNUMBER(Entrées[Montant TTC]),Entrées[Montant TTC],0))</f>
        <v>0</v>
      </c>
      <c r="D101" s="232">
        <f>SUMPRODUCT((Prévisions[0]=A101)*IF(Prévisions[E / S]="Entrée",IF(ISNUMBER(Prévisions[Coût TTC]),Prévisions[Coût TTC],0),0))</f>
        <v>0</v>
      </c>
      <c r="E101" s="233">
        <f>SUMPRODUCT((Sorties[Date]=A101)*IF(ISNUMBER(Sorties[Coût TTC]),Sorties[Coût TTC],0))</f>
        <v>0</v>
      </c>
      <c r="F101" s="232">
        <f>SUMPRODUCT((Prévisions[0]=A101)*IF(Prévisions[E / S]="Sortie",IF(ISNUMBER(Prévisions[Coût TTC]),Prévisions[Coût TTC],0),0))</f>
        <v>0</v>
      </c>
      <c r="G101" s="234">
        <f t="shared" si="2"/>
        <v>0</v>
      </c>
      <c r="H101" s="235">
        <f t="shared" si="4"/>
        <v>1800.18</v>
      </c>
      <c r="I101" s="236" t="str">
        <f t="shared" si="3"/>
        <v>✅  OK</v>
      </c>
      <c r="J101" s="237">
        <v>97.0</v>
      </c>
      <c r="K101" s="238"/>
    </row>
    <row r="102" ht="18.75" customHeight="1">
      <c r="A102" s="229">
        <f>DATE(Tresorerie!$E$2,1,1)+J101</f>
        <v>46120</v>
      </c>
      <c r="B102" s="230" t="str">
        <f t="shared" si="1"/>
        <v>mer.</v>
      </c>
      <c r="C102" s="231">
        <f>SUMPRODUCT((Entrées[Date]=A102)*IF(ISNUMBER(Entrées[Montant TTC]),Entrées[Montant TTC],0))</f>
        <v>0</v>
      </c>
      <c r="D102" s="232">
        <f>SUMPRODUCT((Prévisions[0]=A102)*IF(Prévisions[E / S]="Entrée",IF(ISNUMBER(Prévisions[Coût TTC]),Prévisions[Coût TTC],0),0))</f>
        <v>0</v>
      </c>
      <c r="E102" s="233">
        <f>SUMPRODUCT((Sorties[Date]=A102)*IF(ISNUMBER(Sorties[Coût TTC]),Sorties[Coût TTC],0))</f>
        <v>57.7</v>
      </c>
      <c r="F102" s="232">
        <f>SUMPRODUCT((Prévisions[0]=A102)*IF(Prévisions[E / S]="Sortie",IF(ISNUMBER(Prévisions[Coût TTC]),Prévisions[Coût TTC],0),0))</f>
        <v>0</v>
      </c>
      <c r="G102" s="234">
        <f t="shared" si="2"/>
        <v>-57.7</v>
      </c>
      <c r="H102" s="235">
        <f t="shared" si="4"/>
        <v>1742.48</v>
      </c>
      <c r="I102" s="236" t="str">
        <f t="shared" si="3"/>
        <v>✅  OK</v>
      </c>
      <c r="J102" s="237">
        <v>98.0</v>
      </c>
      <c r="K102" s="238"/>
    </row>
    <row r="103" ht="18.75" customHeight="1">
      <c r="A103" s="229">
        <f>DATE(Tresorerie!$E$2,1,1)+J102</f>
        <v>46121</v>
      </c>
      <c r="B103" s="230" t="str">
        <f t="shared" si="1"/>
        <v>jeu.</v>
      </c>
      <c r="C103" s="231">
        <f>SUMPRODUCT((Entrées[Date]=A103)*IF(ISNUMBER(Entrées[Montant TTC]),Entrées[Montant TTC],0))</f>
        <v>0</v>
      </c>
      <c r="D103" s="232">
        <f>SUMPRODUCT((Prévisions[0]=A103)*IF(Prévisions[E / S]="Entrée",IF(ISNUMBER(Prévisions[Coût TTC]),Prévisions[Coût TTC],0),0))</f>
        <v>0</v>
      </c>
      <c r="E103" s="233">
        <f>SUMPRODUCT((Sorties[Date]=A103)*IF(ISNUMBER(Sorties[Coût TTC]),Sorties[Coût TTC],0))</f>
        <v>78.25</v>
      </c>
      <c r="F103" s="232">
        <f>SUMPRODUCT((Prévisions[0]=A103)*IF(Prévisions[E / S]="Sortie",IF(ISNUMBER(Prévisions[Coût TTC]),Prévisions[Coût TTC],0),0))</f>
        <v>0</v>
      </c>
      <c r="G103" s="234">
        <f t="shared" si="2"/>
        <v>-78.25</v>
      </c>
      <c r="H103" s="235">
        <f t="shared" si="4"/>
        <v>1664.23</v>
      </c>
      <c r="I103" s="236" t="str">
        <f t="shared" si="3"/>
        <v>✅  OK</v>
      </c>
      <c r="J103" s="237">
        <v>99.0</v>
      </c>
      <c r="K103" s="238"/>
    </row>
    <row r="104" ht="18.75" customHeight="1">
      <c r="A104" s="229">
        <f>DATE(Tresorerie!$E$2,1,1)+J103</f>
        <v>46122</v>
      </c>
      <c r="B104" s="230" t="str">
        <f t="shared" si="1"/>
        <v>ven.</v>
      </c>
      <c r="C104" s="231">
        <f>SUMPRODUCT((Entrées[Date]=A104)*IF(ISNUMBER(Entrées[Montant TTC]),Entrées[Montant TTC],0))</f>
        <v>0</v>
      </c>
      <c r="D104" s="232">
        <f>SUMPRODUCT((Prévisions[0]=A104)*IF(Prévisions[E / S]="Entrée",IF(ISNUMBER(Prévisions[Coût TTC]),Prévisions[Coût TTC],0),0))</f>
        <v>0</v>
      </c>
      <c r="E104" s="233">
        <f>SUMPRODUCT((Sorties[Date]=A104)*IF(ISNUMBER(Sorties[Coût TTC]),Sorties[Coût TTC],0))</f>
        <v>0</v>
      </c>
      <c r="F104" s="232">
        <f>SUMPRODUCT((Prévisions[0]=A104)*IF(Prévisions[E / S]="Sortie",IF(ISNUMBER(Prévisions[Coût TTC]),Prévisions[Coût TTC],0),0))</f>
        <v>0</v>
      </c>
      <c r="G104" s="234">
        <f t="shared" si="2"/>
        <v>0</v>
      </c>
      <c r="H104" s="235">
        <f t="shared" si="4"/>
        <v>1664.23</v>
      </c>
      <c r="I104" s="236" t="str">
        <f t="shared" si="3"/>
        <v>✅  OK</v>
      </c>
      <c r="J104" s="237">
        <v>100.0</v>
      </c>
      <c r="K104" s="238"/>
    </row>
    <row r="105" ht="18.75" customHeight="1">
      <c r="A105" s="229">
        <f>DATE(Tresorerie!$E$2,1,1)+J104</f>
        <v>46123</v>
      </c>
      <c r="B105" s="239" t="str">
        <f t="shared" si="1"/>
        <v>sam.</v>
      </c>
      <c r="C105" s="231">
        <f>SUMPRODUCT((Entrées[Date]=A105)*IF(ISNUMBER(Entrées[Montant TTC]),Entrées[Montant TTC],0))</f>
        <v>0</v>
      </c>
      <c r="D105" s="232">
        <f>SUMPRODUCT((Prévisions[0]=A105)*IF(Prévisions[E / S]="Entrée",IF(ISNUMBER(Prévisions[Coût TTC]),Prévisions[Coût TTC],0),0))</f>
        <v>0</v>
      </c>
      <c r="E105" s="233">
        <f>SUMPRODUCT((Sorties[Date]=A105)*IF(ISNUMBER(Sorties[Coût TTC]),Sorties[Coût TTC],0))</f>
        <v>0</v>
      </c>
      <c r="F105" s="232">
        <f>SUMPRODUCT((Prévisions[0]=A105)*IF(Prévisions[E / S]="Sortie",IF(ISNUMBER(Prévisions[Coût TTC]),Prévisions[Coût TTC],0),0))</f>
        <v>0</v>
      </c>
      <c r="G105" s="234">
        <f t="shared" si="2"/>
        <v>0</v>
      </c>
      <c r="H105" s="235">
        <f t="shared" si="4"/>
        <v>1664.23</v>
      </c>
      <c r="I105" s="236" t="str">
        <f t="shared" si="3"/>
        <v>✅  OK</v>
      </c>
      <c r="J105" s="237">
        <v>101.0</v>
      </c>
      <c r="K105" s="238"/>
    </row>
    <row r="106" ht="18.75" customHeight="1">
      <c r="A106" s="229">
        <f>DATE(Tresorerie!$E$2,1,1)+J105</f>
        <v>46124</v>
      </c>
      <c r="B106" s="239" t="str">
        <f t="shared" si="1"/>
        <v>dim.</v>
      </c>
      <c r="C106" s="231">
        <f>SUMPRODUCT((Entrées[Date]=A106)*IF(ISNUMBER(Entrées[Montant TTC]),Entrées[Montant TTC],0))</f>
        <v>0</v>
      </c>
      <c r="D106" s="232">
        <f>SUMPRODUCT((Prévisions[0]=A106)*IF(Prévisions[E / S]="Entrée",IF(ISNUMBER(Prévisions[Coût TTC]),Prévisions[Coût TTC],0),0))</f>
        <v>0</v>
      </c>
      <c r="E106" s="233">
        <f>SUMPRODUCT((Sorties[Date]=A106)*IF(ISNUMBER(Sorties[Coût TTC]),Sorties[Coût TTC],0))</f>
        <v>0</v>
      </c>
      <c r="F106" s="232">
        <f>SUMPRODUCT((Prévisions[0]=A106)*IF(Prévisions[E / S]="Sortie",IF(ISNUMBER(Prévisions[Coût TTC]),Prévisions[Coût TTC],0),0))</f>
        <v>0</v>
      </c>
      <c r="G106" s="234">
        <f t="shared" si="2"/>
        <v>0</v>
      </c>
      <c r="H106" s="235">
        <f t="shared" si="4"/>
        <v>1664.23</v>
      </c>
      <c r="I106" s="236" t="str">
        <f t="shared" si="3"/>
        <v>✅  OK</v>
      </c>
      <c r="J106" s="237">
        <v>102.0</v>
      </c>
      <c r="K106" s="238"/>
    </row>
    <row r="107" ht="18.75" customHeight="1">
      <c r="A107" s="229">
        <f>DATE(Tresorerie!$E$2,1,1)+J106</f>
        <v>46125</v>
      </c>
      <c r="B107" s="240" t="str">
        <f t="shared" si="1"/>
        <v>lun.</v>
      </c>
      <c r="C107" s="231">
        <f>SUMPRODUCT((Entrées[Date]=A107)*IF(ISNUMBER(Entrées[Montant TTC]),Entrées[Montant TTC],0))</f>
        <v>0</v>
      </c>
      <c r="D107" s="232">
        <f>SUMPRODUCT((Prévisions[0]=A107)*IF(Prévisions[E / S]="Entrée",IF(ISNUMBER(Prévisions[Coût TTC]),Prévisions[Coût TTC],0),0))</f>
        <v>0</v>
      </c>
      <c r="E107" s="233">
        <f>SUMPRODUCT((Sorties[Date]=A107)*IF(ISNUMBER(Sorties[Coût TTC]),Sorties[Coût TTC],0))</f>
        <v>0</v>
      </c>
      <c r="F107" s="232">
        <f>SUMPRODUCT((Prévisions[0]=A107)*IF(Prévisions[E / S]="Sortie",IF(ISNUMBER(Prévisions[Coût TTC]),Prévisions[Coût TTC],0),0))</f>
        <v>0</v>
      </c>
      <c r="G107" s="234">
        <f t="shared" si="2"/>
        <v>0</v>
      </c>
      <c r="H107" s="235">
        <f t="shared" si="4"/>
        <v>1664.23</v>
      </c>
      <c r="I107" s="236" t="str">
        <f t="shared" si="3"/>
        <v>✅  OK</v>
      </c>
      <c r="J107" s="237">
        <v>103.0</v>
      </c>
      <c r="K107" s="238"/>
    </row>
    <row r="108" ht="18.75" customHeight="1">
      <c r="A108" s="229">
        <f>DATE(Tresorerie!$E$2,1,1)+J107</f>
        <v>46126</v>
      </c>
      <c r="B108" s="230" t="str">
        <f t="shared" si="1"/>
        <v>mar.</v>
      </c>
      <c r="C108" s="231">
        <f>SUMPRODUCT((Entrées[Date]=A108)*IF(ISNUMBER(Entrées[Montant TTC]),Entrées[Montant TTC],0))</f>
        <v>0</v>
      </c>
      <c r="D108" s="232">
        <f>SUMPRODUCT((Prévisions[0]=A108)*IF(Prévisions[E / S]="Entrée",IF(ISNUMBER(Prévisions[Coût TTC]),Prévisions[Coût TTC],0),0))</f>
        <v>0</v>
      </c>
      <c r="E108" s="233">
        <f>SUMPRODUCT((Sorties[Date]=A108)*IF(ISNUMBER(Sorties[Coût TTC]),Sorties[Coût TTC],0))</f>
        <v>0</v>
      </c>
      <c r="F108" s="232">
        <f>SUMPRODUCT((Prévisions[0]=A108)*IF(Prévisions[E / S]="Sortie",IF(ISNUMBER(Prévisions[Coût TTC]),Prévisions[Coût TTC],0),0))</f>
        <v>0</v>
      </c>
      <c r="G108" s="234">
        <f t="shared" si="2"/>
        <v>0</v>
      </c>
      <c r="H108" s="235">
        <f t="shared" si="4"/>
        <v>1664.23</v>
      </c>
      <c r="I108" s="236" t="str">
        <f t="shared" si="3"/>
        <v>✅  OK</v>
      </c>
      <c r="J108" s="237">
        <v>104.0</v>
      </c>
      <c r="K108" s="238"/>
    </row>
    <row r="109" ht="18.75" customHeight="1">
      <c r="A109" s="229">
        <f>DATE(Tresorerie!$E$2,1,1)+J108</f>
        <v>46127</v>
      </c>
      <c r="B109" s="230" t="str">
        <f t="shared" si="1"/>
        <v>mer.</v>
      </c>
      <c r="C109" s="231">
        <f>SUMPRODUCT((Entrées[Date]=A109)*IF(ISNUMBER(Entrées[Montant TTC]),Entrées[Montant TTC],0))</f>
        <v>0</v>
      </c>
      <c r="D109" s="232">
        <f>SUMPRODUCT((Prévisions[0]=A109)*IF(Prévisions[E / S]="Entrée",IF(ISNUMBER(Prévisions[Coût TTC]),Prévisions[Coût TTC],0),0))</f>
        <v>0</v>
      </c>
      <c r="E109" s="233">
        <f>SUMPRODUCT((Sorties[Date]=A109)*IF(ISNUMBER(Sorties[Coût TTC]),Sorties[Coût TTC],0))</f>
        <v>2.99</v>
      </c>
      <c r="F109" s="232">
        <f>SUMPRODUCT((Prévisions[0]=A109)*IF(Prévisions[E / S]="Sortie",IF(ISNUMBER(Prévisions[Coût TTC]),Prévisions[Coût TTC],0),0))</f>
        <v>0</v>
      </c>
      <c r="G109" s="234">
        <f t="shared" si="2"/>
        <v>-2.99</v>
      </c>
      <c r="H109" s="235">
        <f t="shared" si="4"/>
        <v>1661.24</v>
      </c>
      <c r="I109" s="236" t="str">
        <f t="shared" si="3"/>
        <v>✅  OK</v>
      </c>
      <c r="J109" s="237">
        <v>105.0</v>
      </c>
      <c r="K109" s="238"/>
    </row>
    <row r="110" ht="18.75" customHeight="1">
      <c r="A110" s="229">
        <f>DATE(Tresorerie!$E$2,1,1)+J109</f>
        <v>46128</v>
      </c>
      <c r="B110" s="230" t="str">
        <f t="shared" si="1"/>
        <v>jeu.</v>
      </c>
      <c r="C110" s="231">
        <f>SUMPRODUCT((Entrées[Date]=A110)*IF(ISNUMBER(Entrées[Montant TTC]),Entrées[Montant TTC],0))</f>
        <v>0</v>
      </c>
      <c r="D110" s="232">
        <f>SUMPRODUCT((Prévisions[0]=A110)*IF(Prévisions[E / S]="Entrée",IF(ISNUMBER(Prévisions[Coût TTC]),Prévisions[Coût TTC],0),0))</f>
        <v>0</v>
      </c>
      <c r="E110" s="233">
        <f>SUMPRODUCT((Sorties[Date]=A110)*IF(ISNUMBER(Sorties[Coût TTC]),Sorties[Coût TTC],0))</f>
        <v>19.9</v>
      </c>
      <c r="F110" s="232">
        <f>SUMPRODUCT((Prévisions[0]=A110)*IF(Prévisions[E / S]="Sortie",IF(ISNUMBER(Prévisions[Coût TTC]),Prévisions[Coût TTC],0),0))</f>
        <v>0</v>
      </c>
      <c r="G110" s="234">
        <f t="shared" si="2"/>
        <v>-19.9</v>
      </c>
      <c r="H110" s="235">
        <f t="shared" si="4"/>
        <v>1641.34</v>
      </c>
      <c r="I110" s="236" t="str">
        <f t="shared" si="3"/>
        <v>✅  OK</v>
      </c>
      <c r="J110" s="237">
        <v>106.0</v>
      </c>
      <c r="K110" s="238"/>
    </row>
    <row r="111" ht="18.75" customHeight="1">
      <c r="A111" s="229">
        <f>DATE(Tresorerie!$E$2,1,1)+J110</f>
        <v>46129</v>
      </c>
      <c r="B111" s="230" t="str">
        <f t="shared" si="1"/>
        <v>ven.</v>
      </c>
      <c r="C111" s="231">
        <f>SUMPRODUCT((Entrées[Date]=A111)*IF(ISNUMBER(Entrées[Montant TTC]),Entrées[Montant TTC],0))</f>
        <v>0</v>
      </c>
      <c r="D111" s="232">
        <f>SUMPRODUCT((Prévisions[0]=A111)*IF(Prévisions[E / S]="Entrée",IF(ISNUMBER(Prévisions[Coût TTC]),Prévisions[Coût TTC],0),0))</f>
        <v>0</v>
      </c>
      <c r="E111" s="233">
        <f>SUMPRODUCT((Sorties[Date]=A111)*IF(ISNUMBER(Sorties[Coût TTC]),Sorties[Coût TTC],0))</f>
        <v>0</v>
      </c>
      <c r="F111" s="232">
        <f>SUMPRODUCT((Prévisions[0]=A111)*IF(Prévisions[E / S]="Sortie",IF(ISNUMBER(Prévisions[Coût TTC]),Prévisions[Coût TTC],0),0))</f>
        <v>0</v>
      </c>
      <c r="G111" s="234">
        <f t="shared" si="2"/>
        <v>0</v>
      </c>
      <c r="H111" s="235">
        <f t="shared" si="4"/>
        <v>1641.34</v>
      </c>
      <c r="I111" s="236" t="str">
        <f t="shared" si="3"/>
        <v>✅  OK</v>
      </c>
      <c r="J111" s="237">
        <v>107.0</v>
      </c>
      <c r="K111" s="238"/>
    </row>
    <row r="112" ht="18.75" customHeight="1">
      <c r="A112" s="229">
        <f>DATE(Tresorerie!$E$2,1,1)+J111</f>
        <v>46130</v>
      </c>
      <c r="B112" s="239" t="str">
        <f t="shared" si="1"/>
        <v>sam.</v>
      </c>
      <c r="C112" s="231">
        <f>SUMPRODUCT((Entrées[Date]=A112)*IF(ISNUMBER(Entrées[Montant TTC]),Entrées[Montant TTC],0))</f>
        <v>0</v>
      </c>
      <c r="D112" s="232">
        <f>SUMPRODUCT((Prévisions[0]=A112)*IF(Prévisions[E / S]="Entrée",IF(ISNUMBER(Prévisions[Coût TTC]),Prévisions[Coût TTC],0),0))</f>
        <v>0</v>
      </c>
      <c r="E112" s="233">
        <f>SUMPRODUCT((Sorties[Date]=A112)*IF(ISNUMBER(Sorties[Coût TTC]),Sorties[Coût TTC],0))</f>
        <v>0</v>
      </c>
      <c r="F112" s="232">
        <f>SUMPRODUCT((Prévisions[0]=A112)*IF(Prévisions[E / S]="Sortie",IF(ISNUMBER(Prévisions[Coût TTC]),Prévisions[Coût TTC],0),0))</f>
        <v>0</v>
      </c>
      <c r="G112" s="234">
        <f t="shared" si="2"/>
        <v>0</v>
      </c>
      <c r="H112" s="235">
        <f t="shared" si="4"/>
        <v>1641.34</v>
      </c>
      <c r="I112" s="236" t="str">
        <f t="shared" si="3"/>
        <v>✅  OK</v>
      </c>
      <c r="J112" s="237">
        <v>108.0</v>
      </c>
      <c r="K112" s="238"/>
    </row>
    <row r="113" ht="18.75" customHeight="1">
      <c r="A113" s="229">
        <f>DATE(Tresorerie!$E$2,1,1)+J112</f>
        <v>46131</v>
      </c>
      <c r="B113" s="239" t="str">
        <f t="shared" si="1"/>
        <v>dim.</v>
      </c>
      <c r="C113" s="231">
        <f>SUMPRODUCT((Entrées[Date]=A113)*IF(ISNUMBER(Entrées[Montant TTC]),Entrées[Montant TTC],0))</f>
        <v>0</v>
      </c>
      <c r="D113" s="232">
        <f>SUMPRODUCT((Prévisions[0]=A113)*IF(Prévisions[E / S]="Entrée",IF(ISNUMBER(Prévisions[Coût TTC]),Prévisions[Coût TTC],0),0))</f>
        <v>0</v>
      </c>
      <c r="E113" s="233">
        <f>SUMPRODUCT((Sorties[Date]=A113)*IF(ISNUMBER(Sorties[Coût TTC]),Sorties[Coût TTC],0))</f>
        <v>0</v>
      </c>
      <c r="F113" s="232">
        <f>SUMPRODUCT((Prévisions[0]=A113)*IF(Prévisions[E / S]="Sortie",IF(ISNUMBER(Prévisions[Coût TTC]),Prévisions[Coût TTC],0),0))</f>
        <v>0</v>
      </c>
      <c r="G113" s="234">
        <f t="shared" si="2"/>
        <v>0</v>
      </c>
      <c r="H113" s="235">
        <f t="shared" si="4"/>
        <v>1641.34</v>
      </c>
      <c r="I113" s="236" t="str">
        <f t="shared" si="3"/>
        <v>✅  OK</v>
      </c>
      <c r="J113" s="237">
        <v>109.0</v>
      </c>
      <c r="K113" s="238"/>
    </row>
    <row r="114" ht="18.75" customHeight="1">
      <c r="A114" s="229">
        <f>DATE(Tresorerie!$E$2,1,1)+J113</f>
        <v>46132</v>
      </c>
      <c r="B114" s="240" t="str">
        <f t="shared" si="1"/>
        <v>lun.</v>
      </c>
      <c r="C114" s="231">
        <f>SUMPRODUCT((Entrées[Date]=A114)*IF(ISNUMBER(Entrées[Montant TTC]),Entrées[Montant TTC],0))</f>
        <v>0</v>
      </c>
      <c r="D114" s="232">
        <f>SUMPRODUCT((Prévisions[0]=A114)*IF(Prévisions[E / S]="Entrée",IF(ISNUMBER(Prévisions[Coût TTC]),Prévisions[Coût TTC],0),0))</f>
        <v>0</v>
      </c>
      <c r="E114" s="233">
        <f>SUMPRODUCT((Sorties[Date]=A114)*IF(ISNUMBER(Sorties[Coût TTC]),Sorties[Coût TTC],0))</f>
        <v>150</v>
      </c>
      <c r="F114" s="232">
        <f>SUMPRODUCT((Prévisions[0]=A114)*IF(Prévisions[E / S]="Sortie",IF(ISNUMBER(Prévisions[Coût TTC]),Prévisions[Coût TTC],0),0))</f>
        <v>0</v>
      </c>
      <c r="G114" s="234">
        <f t="shared" si="2"/>
        <v>-150</v>
      </c>
      <c r="H114" s="235">
        <f t="shared" si="4"/>
        <v>1491.34</v>
      </c>
      <c r="I114" s="236" t="str">
        <f t="shared" si="3"/>
        <v>✅  OK</v>
      </c>
      <c r="J114" s="237">
        <v>110.0</v>
      </c>
      <c r="K114" s="238"/>
    </row>
    <row r="115" ht="18.75" customHeight="1">
      <c r="A115" s="229">
        <f>DATE(Tresorerie!$E$2,1,1)+J114</f>
        <v>46133</v>
      </c>
      <c r="B115" s="230" t="str">
        <f t="shared" si="1"/>
        <v>mar.</v>
      </c>
      <c r="C115" s="231">
        <f>SUMPRODUCT((Entrées[Date]=A115)*IF(ISNUMBER(Entrées[Montant TTC]),Entrées[Montant TTC],0))</f>
        <v>780.4</v>
      </c>
      <c r="D115" s="232">
        <f>SUMPRODUCT((Prévisions[0]=A115)*IF(Prévisions[E / S]="Entrée",IF(ISNUMBER(Prévisions[Coût TTC]),Prévisions[Coût TTC],0),0))</f>
        <v>0</v>
      </c>
      <c r="E115" s="233">
        <f>SUMPRODUCT((Sorties[Date]=A115)*IF(ISNUMBER(Sorties[Coût TTC]),Sorties[Coût TTC],0))</f>
        <v>0</v>
      </c>
      <c r="F115" s="232">
        <f>SUMPRODUCT((Prévisions[0]=A115)*IF(Prévisions[E / S]="Sortie",IF(ISNUMBER(Prévisions[Coût TTC]),Prévisions[Coût TTC],0),0))</f>
        <v>0</v>
      </c>
      <c r="G115" s="234">
        <f t="shared" si="2"/>
        <v>780.4</v>
      </c>
      <c r="H115" s="235">
        <f t="shared" si="4"/>
        <v>2271.74</v>
      </c>
      <c r="I115" s="236" t="str">
        <f t="shared" si="3"/>
        <v>✅  OK</v>
      </c>
      <c r="J115" s="237">
        <v>111.0</v>
      </c>
      <c r="K115" s="238"/>
    </row>
    <row r="116" ht="18.75" customHeight="1">
      <c r="A116" s="229">
        <f>DATE(Tresorerie!$E$2,1,1)+J115</f>
        <v>46134</v>
      </c>
      <c r="B116" s="230" t="str">
        <f t="shared" si="1"/>
        <v>mer.</v>
      </c>
      <c r="C116" s="231">
        <f>SUMPRODUCT((Entrées[Date]=A116)*IF(ISNUMBER(Entrées[Montant TTC]),Entrées[Montant TTC],0))</f>
        <v>0</v>
      </c>
      <c r="D116" s="232">
        <f>SUMPRODUCT((Prévisions[0]=A116)*IF(Prévisions[E / S]="Entrée",IF(ISNUMBER(Prévisions[Coût TTC]),Prévisions[Coût TTC],0),0))</f>
        <v>0</v>
      </c>
      <c r="E116" s="233">
        <f>SUMPRODUCT((Sorties[Date]=A116)*IF(ISNUMBER(Sorties[Coût TTC]),Sorties[Coût TTC],0))</f>
        <v>0</v>
      </c>
      <c r="F116" s="232">
        <f>SUMPRODUCT((Prévisions[0]=A116)*IF(Prévisions[E / S]="Sortie",IF(ISNUMBER(Prévisions[Coût TTC]),Prévisions[Coût TTC],0),0))</f>
        <v>0</v>
      </c>
      <c r="G116" s="234">
        <f t="shared" si="2"/>
        <v>0</v>
      </c>
      <c r="H116" s="235">
        <f t="shared" si="4"/>
        <v>2271.74</v>
      </c>
      <c r="I116" s="236" t="str">
        <f t="shared" si="3"/>
        <v>✅  OK</v>
      </c>
      <c r="J116" s="237">
        <v>112.0</v>
      </c>
      <c r="K116" s="238"/>
    </row>
    <row r="117" ht="18.75" customHeight="1">
      <c r="A117" s="229">
        <f>DATE(Tresorerie!$E$2,1,1)+J116</f>
        <v>46135</v>
      </c>
      <c r="B117" s="230" t="str">
        <f t="shared" si="1"/>
        <v>jeu.</v>
      </c>
      <c r="C117" s="231">
        <f>SUMPRODUCT((Entrées[Date]=A117)*IF(ISNUMBER(Entrées[Montant TTC]),Entrées[Montant TTC],0))</f>
        <v>0</v>
      </c>
      <c r="D117" s="232">
        <f>SUMPRODUCT((Prévisions[0]=A117)*IF(Prévisions[E / S]="Entrée",IF(ISNUMBER(Prévisions[Coût TTC]),Prévisions[Coût TTC],0),0))</f>
        <v>0</v>
      </c>
      <c r="E117" s="233">
        <f>SUMPRODUCT((Sorties[Date]=A117)*IF(ISNUMBER(Sorties[Coût TTC]),Sorties[Coût TTC],0))</f>
        <v>0</v>
      </c>
      <c r="F117" s="232">
        <f>SUMPRODUCT((Prévisions[0]=A117)*IF(Prévisions[E / S]="Sortie",IF(ISNUMBER(Prévisions[Coût TTC]),Prévisions[Coût TTC],0),0))</f>
        <v>0</v>
      </c>
      <c r="G117" s="234">
        <f t="shared" si="2"/>
        <v>0</v>
      </c>
      <c r="H117" s="235">
        <f t="shared" si="4"/>
        <v>2271.74</v>
      </c>
      <c r="I117" s="236" t="str">
        <f t="shared" si="3"/>
        <v>✅  OK</v>
      </c>
      <c r="J117" s="237">
        <v>113.0</v>
      </c>
      <c r="K117" s="238"/>
    </row>
    <row r="118" ht="18.75" customHeight="1">
      <c r="A118" s="229">
        <f>DATE(Tresorerie!$E$2,1,1)+J117</f>
        <v>46136</v>
      </c>
      <c r="B118" s="230" t="str">
        <f t="shared" si="1"/>
        <v>ven.</v>
      </c>
      <c r="C118" s="231">
        <f>SUMPRODUCT((Entrées[Date]=A118)*IF(ISNUMBER(Entrées[Montant TTC]),Entrées[Montant TTC],0))</f>
        <v>0</v>
      </c>
      <c r="D118" s="232">
        <f>SUMPRODUCT((Prévisions[0]=A118)*IF(Prévisions[E / S]="Entrée",IF(ISNUMBER(Prévisions[Coût TTC]),Prévisions[Coût TTC],0),0))</f>
        <v>0</v>
      </c>
      <c r="E118" s="233">
        <f>SUMPRODUCT((Sorties[Date]=A118)*IF(ISNUMBER(Sorties[Coût TTC]),Sorties[Coût TTC],0))</f>
        <v>0</v>
      </c>
      <c r="F118" s="232">
        <f>SUMPRODUCT((Prévisions[0]=A118)*IF(Prévisions[E / S]="Sortie",IF(ISNUMBER(Prévisions[Coût TTC]),Prévisions[Coût TTC],0),0))</f>
        <v>0</v>
      </c>
      <c r="G118" s="234">
        <f t="shared" si="2"/>
        <v>0</v>
      </c>
      <c r="H118" s="235">
        <f t="shared" si="4"/>
        <v>2271.74</v>
      </c>
      <c r="I118" s="236" t="str">
        <f t="shared" si="3"/>
        <v>✅  OK</v>
      </c>
      <c r="J118" s="237">
        <v>114.0</v>
      </c>
      <c r="K118" s="238"/>
    </row>
    <row r="119" ht="18.75" customHeight="1">
      <c r="A119" s="229">
        <f>DATE(Tresorerie!$E$2,1,1)+J118</f>
        <v>46137</v>
      </c>
      <c r="B119" s="239" t="str">
        <f t="shared" si="1"/>
        <v>sam.</v>
      </c>
      <c r="C119" s="231">
        <f>SUMPRODUCT((Entrées[Date]=A119)*IF(ISNUMBER(Entrées[Montant TTC]),Entrées[Montant TTC],0))</f>
        <v>0</v>
      </c>
      <c r="D119" s="232">
        <f>SUMPRODUCT((Prévisions[0]=A119)*IF(Prévisions[E / S]="Entrée",IF(ISNUMBER(Prévisions[Coût TTC]),Prévisions[Coût TTC],0),0))</f>
        <v>0</v>
      </c>
      <c r="E119" s="233">
        <f>SUMPRODUCT((Sorties[Date]=A119)*IF(ISNUMBER(Sorties[Coût TTC]),Sorties[Coût TTC],0))</f>
        <v>0</v>
      </c>
      <c r="F119" s="232">
        <f>SUMPRODUCT((Prévisions[0]=A119)*IF(Prévisions[E / S]="Sortie",IF(ISNUMBER(Prévisions[Coût TTC]),Prévisions[Coût TTC],0),0))</f>
        <v>0</v>
      </c>
      <c r="G119" s="234">
        <f t="shared" si="2"/>
        <v>0</v>
      </c>
      <c r="H119" s="235">
        <f t="shared" si="4"/>
        <v>2271.74</v>
      </c>
      <c r="I119" s="236" t="str">
        <f t="shared" si="3"/>
        <v>✅  OK</v>
      </c>
      <c r="J119" s="237">
        <v>115.0</v>
      </c>
      <c r="K119" s="238"/>
    </row>
    <row r="120" ht="18.75" customHeight="1">
      <c r="A120" s="229">
        <f>DATE(Tresorerie!$E$2,1,1)+J119</f>
        <v>46138</v>
      </c>
      <c r="B120" s="239" t="str">
        <f t="shared" si="1"/>
        <v>dim.</v>
      </c>
      <c r="C120" s="231">
        <f>SUMPRODUCT((Entrées[Date]=A120)*IF(ISNUMBER(Entrées[Montant TTC]),Entrées[Montant TTC],0))</f>
        <v>0</v>
      </c>
      <c r="D120" s="232">
        <f>SUMPRODUCT((Prévisions[0]=A120)*IF(Prévisions[E / S]="Entrée",IF(ISNUMBER(Prévisions[Coût TTC]),Prévisions[Coût TTC],0),0))</f>
        <v>0</v>
      </c>
      <c r="E120" s="233">
        <f>SUMPRODUCT((Sorties[Date]=A120)*IF(ISNUMBER(Sorties[Coût TTC]),Sorties[Coût TTC],0))</f>
        <v>0</v>
      </c>
      <c r="F120" s="232">
        <f>SUMPRODUCT((Prévisions[0]=A120)*IF(Prévisions[E / S]="Sortie",IF(ISNUMBER(Prévisions[Coût TTC]),Prévisions[Coût TTC],0),0))</f>
        <v>0</v>
      </c>
      <c r="G120" s="234">
        <f t="shared" si="2"/>
        <v>0</v>
      </c>
      <c r="H120" s="235">
        <f t="shared" si="4"/>
        <v>2271.74</v>
      </c>
      <c r="I120" s="236" t="str">
        <f t="shared" si="3"/>
        <v>✅  OK</v>
      </c>
      <c r="J120" s="237">
        <v>116.0</v>
      </c>
      <c r="K120" s="238"/>
    </row>
    <row r="121" ht="18.75" customHeight="1">
      <c r="A121" s="229">
        <f>DATE(Tresorerie!$E$2,1,1)+J120</f>
        <v>46139</v>
      </c>
      <c r="B121" s="240" t="str">
        <f t="shared" si="1"/>
        <v>lun.</v>
      </c>
      <c r="C121" s="231">
        <f>SUMPRODUCT((Entrées[Date]=A121)*IF(ISNUMBER(Entrées[Montant TTC]),Entrées[Montant TTC],0))</f>
        <v>0</v>
      </c>
      <c r="D121" s="232">
        <f>SUMPRODUCT((Prévisions[0]=A121)*IF(Prévisions[E / S]="Entrée",IF(ISNUMBER(Prévisions[Coût TTC]),Prévisions[Coût TTC],0),0))</f>
        <v>0</v>
      </c>
      <c r="E121" s="233">
        <f>SUMPRODUCT((Sorties[Date]=A121)*IF(ISNUMBER(Sorties[Coût TTC]),Sorties[Coût TTC],0))</f>
        <v>0</v>
      </c>
      <c r="F121" s="232">
        <f>SUMPRODUCT((Prévisions[0]=A121)*IF(Prévisions[E / S]="Sortie",IF(ISNUMBER(Prévisions[Coût TTC]),Prévisions[Coût TTC],0),0))</f>
        <v>0</v>
      </c>
      <c r="G121" s="234">
        <f t="shared" si="2"/>
        <v>0</v>
      </c>
      <c r="H121" s="235">
        <f t="shared" si="4"/>
        <v>2271.74</v>
      </c>
      <c r="I121" s="236" t="str">
        <f t="shared" si="3"/>
        <v>✅  OK</v>
      </c>
      <c r="J121" s="237">
        <v>117.0</v>
      </c>
      <c r="K121" s="238"/>
    </row>
    <row r="122" ht="18.75" customHeight="1">
      <c r="A122" s="229">
        <f>DATE(Tresorerie!$E$2,1,1)+J121</f>
        <v>46140</v>
      </c>
      <c r="B122" s="230" t="str">
        <f t="shared" si="1"/>
        <v>mar.</v>
      </c>
      <c r="C122" s="231">
        <f>SUMPRODUCT((Entrées[Date]=A122)*IF(ISNUMBER(Entrées[Montant TTC]),Entrées[Montant TTC],0))</f>
        <v>0</v>
      </c>
      <c r="D122" s="232">
        <f>SUMPRODUCT((Prévisions[0]=A122)*IF(Prévisions[E / S]="Entrée",IF(ISNUMBER(Prévisions[Coût TTC]),Prévisions[Coût TTC],0),0))</f>
        <v>0</v>
      </c>
      <c r="E122" s="233">
        <f>SUMPRODUCT((Sorties[Date]=A122)*IF(ISNUMBER(Sorties[Coût TTC]),Sorties[Coût TTC],0))</f>
        <v>763.2</v>
      </c>
      <c r="F122" s="232">
        <f>SUMPRODUCT((Prévisions[0]=A122)*IF(Prévisions[E / S]="Sortie",IF(ISNUMBER(Prévisions[Coût TTC]),Prévisions[Coût TTC],0),0))</f>
        <v>0</v>
      </c>
      <c r="G122" s="234">
        <f t="shared" si="2"/>
        <v>-763.2</v>
      </c>
      <c r="H122" s="235">
        <f t="shared" si="4"/>
        <v>1508.54</v>
      </c>
      <c r="I122" s="236" t="str">
        <f t="shared" si="3"/>
        <v>✅  OK</v>
      </c>
      <c r="J122" s="237">
        <v>118.0</v>
      </c>
      <c r="K122" s="238"/>
    </row>
    <row r="123" ht="18.75" customHeight="1">
      <c r="A123" s="229">
        <f>DATE(Tresorerie!$E$2,1,1)+J122</f>
        <v>46141</v>
      </c>
      <c r="B123" s="230" t="str">
        <f t="shared" si="1"/>
        <v>mer.</v>
      </c>
      <c r="C123" s="231">
        <f>SUMPRODUCT((Entrées[Date]=A123)*IF(ISNUMBER(Entrées[Montant TTC]),Entrées[Montant TTC],0))</f>
        <v>0</v>
      </c>
      <c r="D123" s="232">
        <f>SUMPRODUCT((Prévisions[0]=A123)*IF(Prévisions[E / S]="Entrée",IF(ISNUMBER(Prévisions[Coût TTC]),Prévisions[Coût TTC],0),0))</f>
        <v>0</v>
      </c>
      <c r="E123" s="233">
        <f>SUMPRODUCT((Sorties[Date]=A123)*IF(ISNUMBER(Sorties[Coût TTC]),Sorties[Coût TTC],0))</f>
        <v>0</v>
      </c>
      <c r="F123" s="232">
        <f>SUMPRODUCT((Prévisions[0]=A123)*IF(Prévisions[E / S]="Sortie",IF(ISNUMBER(Prévisions[Coût TTC]),Prévisions[Coût TTC],0),0))</f>
        <v>0</v>
      </c>
      <c r="G123" s="234">
        <f t="shared" si="2"/>
        <v>0</v>
      </c>
      <c r="H123" s="235">
        <f t="shared" si="4"/>
        <v>1508.54</v>
      </c>
      <c r="I123" s="236" t="str">
        <f t="shared" si="3"/>
        <v>✅  OK</v>
      </c>
      <c r="J123" s="237">
        <v>119.0</v>
      </c>
      <c r="K123" s="238"/>
    </row>
    <row r="124" ht="18.75" customHeight="1">
      <c r="A124" s="229">
        <f>DATE(Tresorerie!$E$2,1,1)+J123</f>
        <v>46142</v>
      </c>
      <c r="B124" s="230" t="str">
        <f t="shared" si="1"/>
        <v>jeu.</v>
      </c>
      <c r="C124" s="231">
        <f>SUMPRODUCT((Entrées[Date]=A124)*IF(ISNUMBER(Entrées[Montant TTC]),Entrées[Montant TTC],0))</f>
        <v>0</v>
      </c>
      <c r="D124" s="232">
        <f>SUMPRODUCT((Prévisions[0]=A124)*IF(Prévisions[E / S]="Entrée",IF(ISNUMBER(Prévisions[Coût TTC]),Prévisions[Coût TTC],0),0))</f>
        <v>0</v>
      </c>
      <c r="E124" s="233">
        <f>SUMPRODUCT((Sorties[Date]=A124)*IF(ISNUMBER(Sorties[Coût TTC]),Sorties[Coût TTC],0))</f>
        <v>0</v>
      </c>
      <c r="F124" s="232">
        <f>SUMPRODUCT((Prévisions[0]=A124)*IF(Prévisions[E / S]="Sortie",IF(ISNUMBER(Prévisions[Coût TTC]),Prévisions[Coût TTC],0),0))</f>
        <v>0</v>
      </c>
      <c r="G124" s="234">
        <f t="shared" si="2"/>
        <v>0</v>
      </c>
      <c r="H124" s="235">
        <f t="shared" si="4"/>
        <v>1508.54</v>
      </c>
      <c r="I124" s="236" t="str">
        <f t="shared" si="3"/>
        <v>✅  OK</v>
      </c>
      <c r="J124" s="237">
        <v>120.0</v>
      </c>
      <c r="K124" s="238"/>
    </row>
    <row r="125" ht="18.75" customHeight="1">
      <c r="A125" s="229">
        <f>DATE(Tresorerie!$E$2,1,1)+J124</f>
        <v>46143</v>
      </c>
      <c r="B125" s="230" t="str">
        <f t="shared" si="1"/>
        <v>ven.</v>
      </c>
      <c r="C125" s="231">
        <f>SUMPRODUCT((Entrées[Date]=A125)*IF(ISNUMBER(Entrées[Montant TTC]),Entrées[Montant TTC],0))</f>
        <v>0</v>
      </c>
      <c r="D125" s="232">
        <f>SUMPRODUCT((Prévisions[0]=A125)*IF(Prévisions[E / S]="Entrée",IF(ISNUMBER(Prévisions[Coût TTC]),Prévisions[Coût TTC],0),0))</f>
        <v>0</v>
      </c>
      <c r="E125" s="233">
        <f>SUMPRODUCT((Sorties[Date]=A125)*IF(ISNUMBER(Sorties[Coût TTC]),Sorties[Coût TTC],0))</f>
        <v>0</v>
      </c>
      <c r="F125" s="232">
        <f>SUMPRODUCT((Prévisions[0]=A125)*IF(Prévisions[E / S]="Sortie",IF(ISNUMBER(Prévisions[Coût TTC]),Prévisions[Coût TTC],0),0))</f>
        <v>0</v>
      </c>
      <c r="G125" s="234">
        <f t="shared" si="2"/>
        <v>0</v>
      </c>
      <c r="H125" s="235">
        <f t="shared" si="4"/>
        <v>1508.54</v>
      </c>
      <c r="I125" s="236" t="str">
        <f t="shared" si="3"/>
        <v>✅  OK</v>
      </c>
      <c r="J125" s="237">
        <v>121.0</v>
      </c>
      <c r="K125" s="238"/>
    </row>
    <row r="126" ht="18.75" customHeight="1">
      <c r="A126" s="229">
        <f>DATE(Tresorerie!$E$2,1,1)+J125</f>
        <v>46144</v>
      </c>
      <c r="B126" s="239" t="str">
        <f t="shared" si="1"/>
        <v>sam.</v>
      </c>
      <c r="C126" s="231">
        <f>SUMPRODUCT((Entrées[Date]=A126)*IF(ISNUMBER(Entrées[Montant TTC]),Entrées[Montant TTC],0))</f>
        <v>0</v>
      </c>
      <c r="D126" s="232">
        <f>SUMPRODUCT((Prévisions[0]=A126)*IF(Prévisions[E / S]="Entrée",IF(ISNUMBER(Prévisions[Coût TTC]),Prévisions[Coût TTC],0),0))</f>
        <v>0</v>
      </c>
      <c r="E126" s="233">
        <f>SUMPRODUCT((Sorties[Date]=A126)*IF(ISNUMBER(Sorties[Coût TTC]),Sorties[Coût TTC],0))</f>
        <v>0</v>
      </c>
      <c r="F126" s="232">
        <f>SUMPRODUCT((Prévisions[0]=A126)*IF(Prévisions[E / S]="Sortie",IF(ISNUMBER(Prévisions[Coût TTC]),Prévisions[Coût TTC],0),0))</f>
        <v>0</v>
      </c>
      <c r="G126" s="234">
        <f t="shared" si="2"/>
        <v>0</v>
      </c>
      <c r="H126" s="235">
        <f t="shared" si="4"/>
        <v>1508.54</v>
      </c>
      <c r="I126" s="236" t="str">
        <f t="shared" si="3"/>
        <v>✅  OK</v>
      </c>
      <c r="J126" s="237">
        <v>122.0</v>
      </c>
      <c r="K126" s="238"/>
    </row>
    <row r="127" ht="18.75" customHeight="1">
      <c r="A127" s="229">
        <f>DATE(Tresorerie!$E$2,1,1)+J126</f>
        <v>46145</v>
      </c>
      <c r="B127" s="239" t="str">
        <f t="shared" si="1"/>
        <v>dim.</v>
      </c>
      <c r="C127" s="231">
        <f>SUMPRODUCT((Entrées[Date]=A127)*IF(ISNUMBER(Entrées[Montant TTC]),Entrées[Montant TTC],0))</f>
        <v>0</v>
      </c>
      <c r="D127" s="232">
        <f>SUMPRODUCT((Prévisions[0]=A127)*IF(Prévisions[E / S]="Entrée",IF(ISNUMBER(Prévisions[Coût TTC]),Prévisions[Coût TTC],0),0))</f>
        <v>0</v>
      </c>
      <c r="E127" s="233">
        <f>SUMPRODUCT((Sorties[Date]=A127)*IF(ISNUMBER(Sorties[Coût TTC]),Sorties[Coût TTC],0))</f>
        <v>466</v>
      </c>
      <c r="F127" s="232">
        <f>SUMPRODUCT((Prévisions[0]=A127)*IF(Prévisions[E / S]="Sortie",IF(ISNUMBER(Prévisions[Coût TTC]),Prévisions[Coût TTC],0),0))</f>
        <v>0</v>
      </c>
      <c r="G127" s="234">
        <f t="shared" si="2"/>
        <v>-466</v>
      </c>
      <c r="H127" s="235">
        <f t="shared" si="4"/>
        <v>1042.54</v>
      </c>
      <c r="I127" s="236" t="str">
        <f t="shared" si="3"/>
        <v>✅  OK</v>
      </c>
      <c r="J127" s="237">
        <v>123.0</v>
      </c>
      <c r="K127" s="238"/>
    </row>
    <row r="128" ht="18.75" customHeight="1">
      <c r="A128" s="229">
        <f>DATE(Tresorerie!$E$2,1,1)+J127</f>
        <v>46146</v>
      </c>
      <c r="B128" s="240" t="str">
        <f t="shared" si="1"/>
        <v>lun.</v>
      </c>
      <c r="C128" s="231">
        <f>SUMPRODUCT((Entrées[Date]=A128)*IF(ISNUMBER(Entrées[Montant TTC]),Entrées[Montant TTC],0))</f>
        <v>0</v>
      </c>
      <c r="D128" s="232">
        <f>SUMPRODUCT((Prévisions[0]=A128)*IF(Prévisions[E / S]="Entrée",IF(ISNUMBER(Prévisions[Coût TTC]),Prévisions[Coût TTC],0),0))</f>
        <v>0</v>
      </c>
      <c r="E128" s="233">
        <f>SUMPRODUCT((Sorties[Date]=A128)*IF(ISNUMBER(Sorties[Coût TTC]),Sorties[Coût TTC],0))</f>
        <v>0</v>
      </c>
      <c r="F128" s="232">
        <f>SUMPRODUCT((Prévisions[0]=A128)*IF(Prévisions[E / S]="Sortie",IF(ISNUMBER(Prévisions[Coût TTC]),Prévisions[Coût TTC],0),0))</f>
        <v>0</v>
      </c>
      <c r="G128" s="234">
        <f t="shared" si="2"/>
        <v>0</v>
      </c>
      <c r="H128" s="235">
        <f t="shared" si="4"/>
        <v>1042.54</v>
      </c>
      <c r="I128" s="236" t="str">
        <f t="shared" si="3"/>
        <v>✅  OK</v>
      </c>
      <c r="J128" s="237">
        <v>124.0</v>
      </c>
      <c r="K128" s="238"/>
    </row>
    <row r="129" ht="18.75" customHeight="1">
      <c r="A129" s="229">
        <f>DATE(Tresorerie!$E$2,1,1)+J128</f>
        <v>46147</v>
      </c>
      <c r="B129" s="230" t="str">
        <f t="shared" si="1"/>
        <v>mar.</v>
      </c>
      <c r="C129" s="231">
        <f>SUMPRODUCT((Entrées[Date]=A129)*IF(ISNUMBER(Entrées[Montant TTC]),Entrées[Montant TTC],0))</f>
        <v>0</v>
      </c>
      <c r="D129" s="232">
        <f>SUMPRODUCT((Prévisions[0]=A129)*IF(Prévisions[E / S]="Entrée",IF(ISNUMBER(Prévisions[Coût TTC]),Prévisions[Coût TTC],0),0))</f>
        <v>0</v>
      </c>
      <c r="E129" s="233">
        <f>SUMPRODUCT((Sorties[Date]=A129)*IF(ISNUMBER(Sorties[Coût TTC]),Sorties[Coût TTC],0))</f>
        <v>0</v>
      </c>
      <c r="F129" s="232">
        <f>SUMPRODUCT((Prévisions[0]=A129)*IF(Prévisions[E / S]="Sortie",IF(ISNUMBER(Prévisions[Coût TTC]),Prévisions[Coût TTC],0),0))</f>
        <v>0</v>
      </c>
      <c r="G129" s="234">
        <f t="shared" si="2"/>
        <v>0</v>
      </c>
      <c r="H129" s="235">
        <f t="shared" si="4"/>
        <v>1042.54</v>
      </c>
      <c r="I129" s="236" t="str">
        <f t="shared" si="3"/>
        <v>✅  OK</v>
      </c>
      <c r="J129" s="237">
        <v>125.0</v>
      </c>
      <c r="K129" s="238"/>
    </row>
    <row r="130" ht="18.75" customHeight="1">
      <c r="A130" s="229">
        <f>DATE(Tresorerie!$E$2,1,1)+J129</f>
        <v>46148</v>
      </c>
      <c r="B130" s="230" t="str">
        <f t="shared" si="1"/>
        <v>mer.</v>
      </c>
      <c r="C130" s="231">
        <f>SUMPRODUCT((Entrées[Date]=A130)*IF(ISNUMBER(Entrées[Montant TTC]),Entrées[Montant TTC],0))</f>
        <v>0</v>
      </c>
      <c r="D130" s="232">
        <f>SUMPRODUCT((Prévisions[0]=A130)*IF(Prévisions[E / S]="Entrée",IF(ISNUMBER(Prévisions[Coût TTC]),Prévisions[Coût TTC],0),0))</f>
        <v>0</v>
      </c>
      <c r="E130" s="233">
        <f>SUMPRODUCT((Sorties[Date]=A130)*IF(ISNUMBER(Sorties[Coût TTC]),Sorties[Coût TTC],0))</f>
        <v>0</v>
      </c>
      <c r="F130" s="232">
        <f>SUMPRODUCT((Prévisions[0]=A130)*IF(Prévisions[E / S]="Sortie",IF(ISNUMBER(Prévisions[Coût TTC]),Prévisions[Coût TTC],0),0))</f>
        <v>0</v>
      </c>
      <c r="G130" s="234">
        <f t="shared" si="2"/>
        <v>0</v>
      </c>
      <c r="H130" s="235">
        <f t="shared" si="4"/>
        <v>1042.54</v>
      </c>
      <c r="I130" s="236" t="str">
        <f t="shared" si="3"/>
        <v>✅  OK</v>
      </c>
      <c r="J130" s="237">
        <v>126.0</v>
      </c>
      <c r="K130" s="238"/>
    </row>
    <row r="131" ht="18.75" customHeight="1">
      <c r="A131" s="229">
        <f>DATE(Tresorerie!$E$2,1,1)+J130</f>
        <v>46149</v>
      </c>
      <c r="B131" s="230" t="str">
        <f t="shared" si="1"/>
        <v>jeu.</v>
      </c>
      <c r="C131" s="231">
        <f>SUMPRODUCT((Entrées[Date]=A131)*IF(ISNUMBER(Entrées[Montant TTC]),Entrées[Montant TTC],0))</f>
        <v>0</v>
      </c>
      <c r="D131" s="232">
        <f>SUMPRODUCT((Prévisions[0]=A131)*IF(Prévisions[E / S]="Entrée",IF(ISNUMBER(Prévisions[Coût TTC]),Prévisions[Coût TTC],0),0))</f>
        <v>0</v>
      </c>
      <c r="E131" s="233">
        <f>SUMPRODUCT((Sorties[Date]=A131)*IF(ISNUMBER(Sorties[Coût TTC]),Sorties[Coût TTC],0))</f>
        <v>0</v>
      </c>
      <c r="F131" s="232">
        <f>SUMPRODUCT((Prévisions[0]=A131)*IF(Prévisions[E / S]="Sortie",IF(ISNUMBER(Prévisions[Coût TTC]),Prévisions[Coût TTC],0),0))</f>
        <v>0</v>
      </c>
      <c r="G131" s="234">
        <f t="shared" si="2"/>
        <v>0</v>
      </c>
      <c r="H131" s="235">
        <f t="shared" si="4"/>
        <v>1042.54</v>
      </c>
      <c r="I131" s="236" t="str">
        <f t="shared" si="3"/>
        <v>✅  OK</v>
      </c>
      <c r="J131" s="237">
        <v>127.0</v>
      </c>
      <c r="K131" s="238"/>
    </row>
    <row r="132" ht="18.75" customHeight="1">
      <c r="A132" s="229">
        <f>DATE(Tresorerie!$E$2,1,1)+J131</f>
        <v>46150</v>
      </c>
      <c r="B132" s="230" t="str">
        <f t="shared" si="1"/>
        <v>ven.</v>
      </c>
      <c r="C132" s="231">
        <f>SUMPRODUCT((Entrées[Date]=A132)*IF(ISNUMBER(Entrées[Montant TTC]),Entrées[Montant TTC],0))</f>
        <v>0</v>
      </c>
      <c r="D132" s="232">
        <f>SUMPRODUCT((Prévisions[0]=A132)*IF(Prévisions[E / S]="Entrée",IF(ISNUMBER(Prévisions[Coût TTC]),Prévisions[Coût TTC],0),0))</f>
        <v>0</v>
      </c>
      <c r="E132" s="233">
        <f>SUMPRODUCT((Sorties[Date]=A132)*IF(ISNUMBER(Sorties[Coût TTC]),Sorties[Coût TTC],0))</f>
        <v>0</v>
      </c>
      <c r="F132" s="232">
        <f>SUMPRODUCT((Prévisions[0]=A132)*IF(Prévisions[E / S]="Sortie",IF(ISNUMBER(Prévisions[Coût TTC]),Prévisions[Coût TTC],0),0))</f>
        <v>0</v>
      </c>
      <c r="G132" s="234">
        <f t="shared" si="2"/>
        <v>0</v>
      </c>
      <c r="H132" s="235">
        <f t="shared" si="4"/>
        <v>1042.54</v>
      </c>
      <c r="I132" s="236" t="str">
        <f t="shared" si="3"/>
        <v>✅  OK</v>
      </c>
      <c r="J132" s="237">
        <v>128.0</v>
      </c>
      <c r="K132" s="238"/>
    </row>
    <row r="133" ht="18.75" customHeight="1">
      <c r="A133" s="229">
        <f>DATE(Tresorerie!$E$2,1,1)+J132</f>
        <v>46151</v>
      </c>
      <c r="B133" s="239" t="str">
        <f t="shared" si="1"/>
        <v>sam.</v>
      </c>
      <c r="C133" s="231">
        <f>SUMPRODUCT((Entrées[Date]=A133)*IF(ISNUMBER(Entrées[Montant TTC]),Entrées[Montant TTC],0))</f>
        <v>0</v>
      </c>
      <c r="D133" s="232">
        <f>SUMPRODUCT((Prévisions[0]=A133)*IF(Prévisions[E / S]="Entrée",IF(ISNUMBER(Prévisions[Coût TTC]),Prévisions[Coût TTC],0),0))</f>
        <v>0</v>
      </c>
      <c r="E133" s="233">
        <f>SUMPRODUCT((Sorties[Date]=A133)*IF(ISNUMBER(Sorties[Coût TTC]),Sorties[Coût TTC],0))</f>
        <v>0</v>
      </c>
      <c r="F133" s="232">
        <f>SUMPRODUCT((Prévisions[0]=A133)*IF(Prévisions[E / S]="Sortie",IF(ISNUMBER(Prévisions[Coût TTC]),Prévisions[Coût TTC],0),0))</f>
        <v>0</v>
      </c>
      <c r="G133" s="234">
        <f t="shared" si="2"/>
        <v>0</v>
      </c>
      <c r="H133" s="235">
        <f t="shared" si="4"/>
        <v>1042.54</v>
      </c>
      <c r="I133" s="236" t="str">
        <f t="shared" si="3"/>
        <v>✅  OK</v>
      </c>
      <c r="J133" s="237">
        <v>129.0</v>
      </c>
      <c r="K133" s="238"/>
    </row>
    <row r="134" ht="18.75" customHeight="1">
      <c r="A134" s="229">
        <f>DATE(Tresorerie!$E$2,1,1)+J133</f>
        <v>46152</v>
      </c>
      <c r="B134" s="239" t="str">
        <f t="shared" si="1"/>
        <v>dim.</v>
      </c>
      <c r="C134" s="231">
        <f>SUMPRODUCT((Entrées[Date]=A134)*IF(ISNUMBER(Entrées[Montant TTC]),Entrées[Montant TTC],0))</f>
        <v>0</v>
      </c>
      <c r="D134" s="232">
        <f>SUMPRODUCT((Prévisions[0]=A134)*IF(Prévisions[E / S]="Entrée",IF(ISNUMBER(Prévisions[Coût TTC]),Prévisions[Coût TTC],0),0))</f>
        <v>0</v>
      </c>
      <c r="E134" s="233">
        <f>SUMPRODUCT((Sorties[Date]=A134)*IF(ISNUMBER(Sorties[Coût TTC]),Sorties[Coût TTC],0))</f>
        <v>0</v>
      </c>
      <c r="F134" s="232">
        <f>SUMPRODUCT((Prévisions[0]=A134)*IF(Prévisions[E / S]="Sortie",IF(ISNUMBER(Prévisions[Coût TTC]),Prévisions[Coût TTC],0),0))</f>
        <v>0</v>
      </c>
      <c r="G134" s="234">
        <f t="shared" si="2"/>
        <v>0</v>
      </c>
      <c r="H134" s="235">
        <f t="shared" si="4"/>
        <v>1042.54</v>
      </c>
      <c r="I134" s="236" t="str">
        <f t="shared" si="3"/>
        <v>✅  OK</v>
      </c>
      <c r="J134" s="237">
        <v>130.0</v>
      </c>
      <c r="K134" s="238"/>
    </row>
    <row r="135" ht="18.75" customHeight="1">
      <c r="A135" s="229">
        <f>DATE(Tresorerie!$E$2,1,1)+J134</f>
        <v>46153</v>
      </c>
      <c r="B135" s="240" t="str">
        <f t="shared" si="1"/>
        <v>lun.</v>
      </c>
      <c r="C135" s="231">
        <f>SUMPRODUCT((Entrées[Date]=A135)*IF(ISNUMBER(Entrées[Montant TTC]),Entrées[Montant TTC],0))</f>
        <v>0</v>
      </c>
      <c r="D135" s="232">
        <f>SUMPRODUCT((Prévisions[0]=A135)*IF(Prévisions[E / S]="Entrée",IF(ISNUMBER(Prévisions[Coût TTC]),Prévisions[Coût TTC],0),0))</f>
        <v>0</v>
      </c>
      <c r="E135" s="233">
        <f>SUMPRODUCT((Sorties[Date]=A135)*IF(ISNUMBER(Sorties[Coût TTC]),Sorties[Coût TTC],0))</f>
        <v>0</v>
      </c>
      <c r="F135" s="232">
        <f>SUMPRODUCT((Prévisions[0]=A135)*IF(Prévisions[E / S]="Sortie",IF(ISNUMBER(Prévisions[Coût TTC]),Prévisions[Coût TTC],0),0))</f>
        <v>0</v>
      </c>
      <c r="G135" s="234">
        <f t="shared" si="2"/>
        <v>0</v>
      </c>
      <c r="H135" s="235">
        <f t="shared" si="4"/>
        <v>1042.54</v>
      </c>
      <c r="I135" s="236" t="str">
        <f t="shared" si="3"/>
        <v>✅  OK</v>
      </c>
      <c r="J135" s="237">
        <v>131.0</v>
      </c>
      <c r="K135" s="238"/>
    </row>
    <row r="136" ht="18.75" customHeight="1">
      <c r="A136" s="229">
        <f>DATE(Tresorerie!$E$2,1,1)+J135</f>
        <v>46154</v>
      </c>
      <c r="B136" s="230" t="str">
        <f t="shared" si="1"/>
        <v>mar.</v>
      </c>
      <c r="C136" s="231">
        <f>SUMPRODUCT((Entrées[Date]=A136)*IF(ISNUMBER(Entrées[Montant TTC]),Entrées[Montant TTC],0))</f>
        <v>0</v>
      </c>
      <c r="D136" s="232">
        <f>SUMPRODUCT((Prévisions[0]=A136)*IF(Prévisions[E / S]="Entrée",IF(ISNUMBER(Prévisions[Coût TTC]),Prévisions[Coût TTC],0),0))</f>
        <v>0</v>
      </c>
      <c r="E136" s="233">
        <f>SUMPRODUCT((Sorties[Date]=A136)*IF(ISNUMBER(Sorties[Coût TTC]),Sorties[Coût TTC],0))</f>
        <v>0</v>
      </c>
      <c r="F136" s="232">
        <f>SUMPRODUCT((Prévisions[0]=A136)*IF(Prévisions[E / S]="Sortie",IF(ISNUMBER(Prévisions[Coût TTC]),Prévisions[Coût TTC],0),0))</f>
        <v>75</v>
      </c>
      <c r="G136" s="234">
        <f t="shared" si="2"/>
        <v>-75</v>
      </c>
      <c r="H136" s="235">
        <f t="shared" si="4"/>
        <v>967.54</v>
      </c>
      <c r="I136" s="236" t="str">
        <f t="shared" si="3"/>
        <v>✅  OK</v>
      </c>
      <c r="J136" s="237">
        <v>132.0</v>
      </c>
      <c r="K136" s="238"/>
    </row>
    <row r="137" ht="18.75" customHeight="1">
      <c r="A137" s="229">
        <f>DATE(Tresorerie!$E$2,1,1)+J136</f>
        <v>46155</v>
      </c>
      <c r="B137" s="230" t="str">
        <f t="shared" si="1"/>
        <v>mer.</v>
      </c>
      <c r="C137" s="231">
        <f>SUMPRODUCT((Entrées[Date]=A137)*IF(ISNUMBER(Entrées[Montant TTC]),Entrées[Montant TTC],0))</f>
        <v>0</v>
      </c>
      <c r="D137" s="232">
        <f>SUMPRODUCT((Prévisions[0]=A137)*IF(Prévisions[E / S]="Entrée",IF(ISNUMBER(Prévisions[Coût TTC]),Prévisions[Coût TTC],0),0))</f>
        <v>0</v>
      </c>
      <c r="E137" s="233">
        <f>SUMPRODUCT((Sorties[Date]=A137)*IF(ISNUMBER(Sorties[Coût TTC]),Sorties[Coût TTC],0))</f>
        <v>0</v>
      </c>
      <c r="F137" s="232">
        <f>SUMPRODUCT((Prévisions[0]=A137)*IF(Prévisions[E / S]="Sortie",IF(ISNUMBER(Prévisions[Coût TTC]),Prévisions[Coût TTC],0),0))</f>
        <v>0</v>
      </c>
      <c r="G137" s="234">
        <f t="shared" si="2"/>
        <v>0</v>
      </c>
      <c r="H137" s="235">
        <f t="shared" si="4"/>
        <v>967.54</v>
      </c>
      <c r="I137" s="236" t="str">
        <f t="shared" si="3"/>
        <v>✅  OK</v>
      </c>
      <c r="J137" s="237">
        <v>133.0</v>
      </c>
      <c r="K137" s="238"/>
    </row>
    <row r="138" ht="18.75" customHeight="1">
      <c r="A138" s="229">
        <f>DATE(Tresorerie!$E$2,1,1)+J137</f>
        <v>46156</v>
      </c>
      <c r="B138" s="230" t="str">
        <f t="shared" si="1"/>
        <v>jeu.</v>
      </c>
      <c r="C138" s="231">
        <f>SUMPRODUCT((Entrées[Date]=A138)*IF(ISNUMBER(Entrées[Montant TTC]),Entrées[Montant TTC],0))</f>
        <v>0</v>
      </c>
      <c r="D138" s="232">
        <f>SUMPRODUCT((Prévisions[0]=A138)*IF(Prévisions[E / S]="Entrée",IF(ISNUMBER(Prévisions[Coût TTC]),Prévisions[Coût TTC],0),0))</f>
        <v>0</v>
      </c>
      <c r="E138" s="233">
        <f>SUMPRODUCT((Sorties[Date]=A138)*IF(ISNUMBER(Sorties[Coût TTC]),Sorties[Coût TTC],0))</f>
        <v>0</v>
      </c>
      <c r="F138" s="232">
        <f>SUMPRODUCT((Prévisions[0]=A138)*IF(Prévisions[E / S]="Sortie",IF(ISNUMBER(Prévisions[Coût TTC]),Prévisions[Coût TTC],0),0))</f>
        <v>0</v>
      </c>
      <c r="G138" s="234">
        <f t="shared" si="2"/>
        <v>0</v>
      </c>
      <c r="H138" s="235">
        <f t="shared" si="4"/>
        <v>967.54</v>
      </c>
      <c r="I138" s="236" t="str">
        <f t="shared" si="3"/>
        <v>✅  OK</v>
      </c>
      <c r="J138" s="237">
        <v>134.0</v>
      </c>
      <c r="K138" s="238"/>
    </row>
    <row r="139" ht="18.75" customHeight="1">
      <c r="A139" s="229">
        <f>DATE(Tresorerie!$E$2,1,1)+J138</f>
        <v>46157</v>
      </c>
      <c r="B139" s="230" t="str">
        <f t="shared" si="1"/>
        <v>ven.</v>
      </c>
      <c r="C139" s="231">
        <f>SUMPRODUCT((Entrées[Date]=A139)*IF(ISNUMBER(Entrées[Montant TTC]),Entrées[Montant TTC],0))</f>
        <v>0</v>
      </c>
      <c r="D139" s="232">
        <f>SUMPRODUCT((Prévisions[0]=A139)*IF(Prévisions[E / S]="Entrée",IF(ISNUMBER(Prévisions[Coût TTC]),Prévisions[Coût TTC],0),0))</f>
        <v>0</v>
      </c>
      <c r="E139" s="233">
        <f>SUMPRODUCT((Sorties[Date]=A139)*IF(ISNUMBER(Sorties[Coût TTC]),Sorties[Coût TTC],0))</f>
        <v>2.99</v>
      </c>
      <c r="F139" s="232">
        <f>SUMPRODUCT((Prévisions[0]=A139)*IF(Prévisions[E / S]="Sortie",IF(ISNUMBER(Prévisions[Coût TTC]),Prévisions[Coût TTC],0),0))</f>
        <v>482.99</v>
      </c>
      <c r="G139" s="234">
        <f t="shared" si="2"/>
        <v>-485.98</v>
      </c>
      <c r="H139" s="235">
        <f t="shared" si="4"/>
        <v>481.56</v>
      </c>
      <c r="I139" s="236" t="str">
        <f t="shared" si="3"/>
        <v>⚡  Solde faible</v>
      </c>
      <c r="J139" s="237">
        <v>135.0</v>
      </c>
      <c r="K139" s="238"/>
    </row>
    <row r="140" ht="18.75" customHeight="1">
      <c r="A140" s="229">
        <f>DATE(Tresorerie!$E$2,1,1)+J139</f>
        <v>46158</v>
      </c>
      <c r="B140" s="239" t="str">
        <f t="shared" si="1"/>
        <v>sam.</v>
      </c>
      <c r="C140" s="231">
        <f>SUMPRODUCT((Entrées[Date]=A140)*IF(ISNUMBER(Entrées[Montant TTC]),Entrées[Montant TTC],0))</f>
        <v>0</v>
      </c>
      <c r="D140" s="232">
        <f>SUMPRODUCT((Prévisions[0]=A140)*IF(Prévisions[E / S]="Entrée",IF(ISNUMBER(Prévisions[Coût TTC]),Prévisions[Coût TTC],0),0))</f>
        <v>0</v>
      </c>
      <c r="E140" s="233">
        <f>SUMPRODUCT((Sorties[Date]=A140)*IF(ISNUMBER(Sorties[Coût TTC]),Sorties[Coût TTC],0))</f>
        <v>0</v>
      </c>
      <c r="F140" s="232">
        <f>SUMPRODUCT((Prévisions[0]=A140)*IF(Prévisions[E / S]="Sortie",IF(ISNUMBER(Prévisions[Coût TTC]),Prévisions[Coût TTC],0),0))</f>
        <v>0</v>
      </c>
      <c r="G140" s="234">
        <f t="shared" si="2"/>
        <v>0</v>
      </c>
      <c r="H140" s="235">
        <f t="shared" si="4"/>
        <v>481.56</v>
      </c>
      <c r="I140" s="236" t="str">
        <f t="shared" si="3"/>
        <v>⚡  Solde faible</v>
      </c>
      <c r="J140" s="237">
        <v>136.0</v>
      </c>
      <c r="K140" s="238"/>
    </row>
    <row r="141" ht="18.75" customHeight="1">
      <c r="A141" s="229">
        <f>DATE(Tresorerie!$E$2,1,1)+J140</f>
        <v>46159</v>
      </c>
      <c r="B141" s="239" t="str">
        <f t="shared" si="1"/>
        <v>dim.</v>
      </c>
      <c r="C141" s="231">
        <f>SUMPRODUCT((Entrées[Date]=A141)*IF(ISNUMBER(Entrées[Montant TTC]),Entrées[Montant TTC],0))</f>
        <v>0</v>
      </c>
      <c r="D141" s="232">
        <f>SUMPRODUCT((Prévisions[0]=A141)*IF(Prévisions[E / S]="Entrée",IF(ISNUMBER(Prévisions[Coût TTC]),Prévisions[Coût TTC],0),0))</f>
        <v>0</v>
      </c>
      <c r="E141" s="233">
        <f>SUMPRODUCT((Sorties[Date]=A141)*IF(ISNUMBER(Sorties[Coût TTC]),Sorties[Coût TTC],0))</f>
        <v>0</v>
      </c>
      <c r="F141" s="232">
        <f>SUMPRODUCT((Prévisions[0]=A141)*IF(Prévisions[E / S]="Sortie",IF(ISNUMBER(Prévisions[Coût TTC]),Prévisions[Coût TTC],0),0))</f>
        <v>0</v>
      </c>
      <c r="G141" s="234">
        <f t="shared" si="2"/>
        <v>0</v>
      </c>
      <c r="H141" s="235">
        <f t="shared" si="4"/>
        <v>481.56</v>
      </c>
      <c r="I141" s="236" t="str">
        <f t="shared" si="3"/>
        <v>⚡  Solde faible</v>
      </c>
      <c r="J141" s="237">
        <v>137.0</v>
      </c>
      <c r="K141" s="238"/>
    </row>
    <row r="142" ht="18.75" customHeight="1">
      <c r="A142" s="229">
        <f>DATE(Tresorerie!$E$2,1,1)+J141</f>
        <v>46160</v>
      </c>
      <c r="B142" s="240" t="str">
        <f t="shared" si="1"/>
        <v>lun.</v>
      </c>
      <c r="C142" s="231">
        <f>SUMPRODUCT((Entrées[Date]=A142)*IF(ISNUMBER(Entrées[Montant TTC]),Entrées[Montant TTC],0))</f>
        <v>0</v>
      </c>
      <c r="D142" s="232">
        <f>SUMPRODUCT((Prévisions[0]=A142)*IF(Prévisions[E / S]="Entrée",IF(ISNUMBER(Prévisions[Coût TTC]),Prévisions[Coût TTC],0),0))</f>
        <v>0</v>
      </c>
      <c r="E142" s="233">
        <f>SUMPRODUCT((Sorties[Date]=A142)*IF(ISNUMBER(Sorties[Coût TTC]),Sorties[Coût TTC],0))</f>
        <v>0</v>
      </c>
      <c r="F142" s="232">
        <f>SUMPRODUCT((Prévisions[0]=A142)*IF(Prévisions[E / S]="Sortie",IF(ISNUMBER(Prévisions[Coût TTC]),Prévisions[Coût TTC],0),0))</f>
        <v>440</v>
      </c>
      <c r="G142" s="234">
        <f t="shared" si="2"/>
        <v>-440</v>
      </c>
      <c r="H142" s="235">
        <f t="shared" si="4"/>
        <v>41.56</v>
      </c>
      <c r="I142" s="236" t="str">
        <f t="shared" si="3"/>
        <v>⚡  Solde faible</v>
      </c>
      <c r="J142" s="237">
        <v>138.0</v>
      </c>
      <c r="K142" s="238"/>
    </row>
    <row r="143" ht="18.75" customHeight="1">
      <c r="A143" s="229">
        <f>DATE(Tresorerie!$E$2,1,1)+J142</f>
        <v>46161</v>
      </c>
      <c r="B143" s="230" t="str">
        <f t="shared" si="1"/>
        <v>mar.</v>
      </c>
      <c r="C143" s="231">
        <f>SUMPRODUCT((Entrées[Date]=A143)*IF(ISNUMBER(Entrées[Montant TTC]),Entrées[Montant TTC],0))</f>
        <v>0</v>
      </c>
      <c r="D143" s="232">
        <f>SUMPRODUCT((Prévisions[0]=A143)*IF(Prévisions[E / S]="Entrée",IF(ISNUMBER(Prévisions[Coût TTC]),Prévisions[Coût TTC],0),0))</f>
        <v>0</v>
      </c>
      <c r="E143" s="233">
        <f>SUMPRODUCT((Sorties[Date]=A143)*IF(ISNUMBER(Sorties[Coût TTC]),Sorties[Coût TTC],0))</f>
        <v>0</v>
      </c>
      <c r="F143" s="232">
        <f>SUMPRODUCT((Prévisions[0]=A143)*IF(Prévisions[E / S]="Sortie",IF(ISNUMBER(Prévisions[Coût TTC]),Prévisions[Coût TTC],0),0))</f>
        <v>0</v>
      </c>
      <c r="G143" s="234">
        <f t="shared" si="2"/>
        <v>0</v>
      </c>
      <c r="H143" s="235">
        <f t="shared" si="4"/>
        <v>41.56</v>
      </c>
      <c r="I143" s="236" t="str">
        <f t="shared" si="3"/>
        <v>⚡  Solde faible</v>
      </c>
      <c r="J143" s="237">
        <v>139.0</v>
      </c>
      <c r="K143" s="238"/>
    </row>
    <row r="144" ht="18.75" customHeight="1">
      <c r="A144" s="229">
        <f>DATE(Tresorerie!$E$2,1,1)+J143</f>
        <v>46162</v>
      </c>
      <c r="B144" s="230" t="str">
        <f t="shared" si="1"/>
        <v>mer.</v>
      </c>
      <c r="C144" s="231">
        <f>SUMPRODUCT((Entrées[Date]=A144)*IF(ISNUMBER(Entrées[Montant TTC]),Entrées[Montant TTC],0))</f>
        <v>0</v>
      </c>
      <c r="D144" s="232">
        <f>SUMPRODUCT((Prévisions[0]=A144)*IF(Prévisions[E / S]="Entrée",IF(ISNUMBER(Prévisions[Coût TTC]),Prévisions[Coût TTC],0),0))</f>
        <v>0</v>
      </c>
      <c r="E144" s="233">
        <f>SUMPRODUCT((Sorties[Date]=A144)*IF(ISNUMBER(Sorties[Coût TTC]),Sorties[Coût TTC],0))</f>
        <v>0</v>
      </c>
      <c r="F144" s="232">
        <f>SUMPRODUCT((Prévisions[0]=A144)*IF(Prévisions[E / S]="Sortie",IF(ISNUMBER(Prévisions[Coût TTC]),Prévisions[Coût TTC],0),0))</f>
        <v>0</v>
      </c>
      <c r="G144" s="234">
        <f t="shared" si="2"/>
        <v>0</v>
      </c>
      <c r="H144" s="235">
        <f t="shared" si="4"/>
        <v>41.56</v>
      </c>
      <c r="I144" s="236" t="str">
        <f t="shared" si="3"/>
        <v>⚡  Solde faible</v>
      </c>
      <c r="J144" s="237">
        <v>140.0</v>
      </c>
      <c r="K144" s="238"/>
    </row>
    <row r="145" ht="18.75" customHeight="1">
      <c r="A145" s="229">
        <f>DATE(Tresorerie!$E$2,1,1)+J144</f>
        <v>46163</v>
      </c>
      <c r="B145" s="230" t="str">
        <f t="shared" si="1"/>
        <v>jeu.</v>
      </c>
      <c r="C145" s="231">
        <f>SUMPRODUCT((Entrées[Date]=A145)*IF(ISNUMBER(Entrées[Montant TTC]),Entrées[Montant TTC],0))</f>
        <v>906.13</v>
      </c>
      <c r="D145" s="232">
        <f>SUMPRODUCT((Prévisions[0]=A145)*IF(Prévisions[E / S]="Entrée",IF(ISNUMBER(Prévisions[Coût TTC]),Prévisions[Coût TTC],0),0))</f>
        <v>0</v>
      </c>
      <c r="E145" s="233">
        <f>SUMPRODUCT((Sorties[Date]=A145)*IF(ISNUMBER(Sorties[Coût TTC]),Sorties[Coût TTC],0))</f>
        <v>0</v>
      </c>
      <c r="F145" s="232">
        <f>SUMPRODUCT((Prévisions[0]=A145)*IF(Prévisions[E / S]="Sortie",IF(ISNUMBER(Prévisions[Coût TTC]),Prévisions[Coût TTC],0),0))</f>
        <v>0</v>
      </c>
      <c r="G145" s="234">
        <f t="shared" si="2"/>
        <v>906.13</v>
      </c>
      <c r="H145" s="235">
        <f t="shared" si="4"/>
        <v>947.69</v>
      </c>
      <c r="I145" s="236" t="str">
        <f t="shared" si="3"/>
        <v>✅  OK</v>
      </c>
      <c r="J145" s="237">
        <v>141.0</v>
      </c>
      <c r="K145" s="238"/>
    </row>
    <row r="146" ht="18.75" customHeight="1">
      <c r="A146" s="229">
        <f>DATE(Tresorerie!$E$2,1,1)+J145</f>
        <v>46164</v>
      </c>
      <c r="B146" s="230" t="str">
        <f t="shared" si="1"/>
        <v>ven.</v>
      </c>
      <c r="C146" s="231">
        <f>SUMPRODUCT((Entrées[Date]=A146)*IF(ISNUMBER(Entrées[Montant TTC]),Entrées[Montant TTC],0))</f>
        <v>0</v>
      </c>
      <c r="D146" s="232">
        <f>SUMPRODUCT((Prévisions[0]=A146)*IF(Prévisions[E / S]="Entrée",IF(ISNUMBER(Prévisions[Coût TTC]),Prévisions[Coût TTC],0),0))</f>
        <v>0</v>
      </c>
      <c r="E146" s="233">
        <f>SUMPRODUCT((Sorties[Date]=A146)*IF(ISNUMBER(Sorties[Coût TTC]),Sorties[Coût TTC],0))</f>
        <v>0</v>
      </c>
      <c r="F146" s="232">
        <f>SUMPRODUCT((Prévisions[0]=A146)*IF(Prévisions[E / S]="Sortie",IF(ISNUMBER(Prévisions[Coût TTC]),Prévisions[Coût TTC],0),0))</f>
        <v>700</v>
      </c>
      <c r="G146" s="234">
        <f t="shared" si="2"/>
        <v>-700</v>
      </c>
      <c r="H146" s="235">
        <f t="shared" si="4"/>
        <v>247.69</v>
      </c>
      <c r="I146" s="236" t="str">
        <f t="shared" si="3"/>
        <v>⚡  Solde faible</v>
      </c>
      <c r="J146" s="237">
        <v>142.0</v>
      </c>
      <c r="K146" s="238"/>
    </row>
    <row r="147" ht="18.75" customHeight="1">
      <c r="A147" s="229">
        <f>DATE(Tresorerie!$E$2,1,1)+J146</f>
        <v>46165</v>
      </c>
      <c r="B147" s="239" t="str">
        <f t="shared" si="1"/>
        <v>sam.</v>
      </c>
      <c r="C147" s="231">
        <f>SUMPRODUCT((Entrées[Date]=A147)*IF(ISNUMBER(Entrées[Montant TTC]),Entrées[Montant TTC],0))</f>
        <v>0</v>
      </c>
      <c r="D147" s="232">
        <f>SUMPRODUCT((Prévisions[0]=A147)*IF(Prévisions[E / S]="Entrée",IF(ISNUMBER(Prévisions[Coût TTC]),Prévisions[Coût TTC],0),0))</f>
        <v>0</v>
      </c>
      <c r="E147" s="233">
        <f>SUMPRODUCT((Sorties[Date]=A147)*IF(ISNUMBER(Sorties[Coût TTC]),Sorties[Coût TTC],0))</f>
        <v>0</v>
      </c>
      <c r="F147" s="232">
        <f>SUMPRODUCT((Prévisions[0]=A147)*IF(Prévisions[E / S]="Sortie",IF(ISNUMBER(Prévisions[Coût TTC]),Prévisions[Coût TTC],0),0))</f>
        <v>0</v>
      </c>
      <c r="G147" s="234">
        <f t="shared" si="2"/>
        <v>0</v>
      </c>
      <c r="H147" s="235">
        <f t="shared" si="4"/>
        <v>247.69</v>
      </c>
      <c r="I147" s="236" t="str">
        <f t="shared" si="3"/>
        <v>⚡  Solde faible</v>
      </c>
      <c r="J147" s="237">
        <v>143.0</v>
      </c>
      <c r="K147" s="238"/>
    </row>
    <row r="148" ht="18.75" customHeight="1">
      <c r="A148" s="229">
        <f>DATE(Tresorerie!$E$2,1,1)+J147</f>
        <v>46166</v>
      </c>
      <c r="B148" s="239" t="str">
        <f t="shared" si="1"/>
        <v>dim.</v>
      </c>
      <c r="C148" s="231">
        <f>SUMPRODUCT((Entrées[Date]=A148)*IF(ISNUMBER(Entrées[Montant TTC]),Entrées[Montant TTC],0))</f>
        <v>0</v>
      </c>
      <c r="D148" s="232">
        <f>SUMPRODUCT((Prévisions[0]=A148)*IF(Prévisions[E / S]="Entrée",IF(ISNUMBER(Prévisions[Coût TTC]),Prévisions[Coût TTC],0),0))</f>
        <v>0</v>
      </c>
      <c r="E148" s="233">
        <f>SUMPRODUCT((Sorties[Date]=A148)*IF(ISNUMBER(Sorties[Coût TTC]),Sorties[Coût TTC],0))</f>
        <v>0</v>
      </c>
      <c r="F148" s="232">
        <f>SUMPRODUCT((Prévisions[0]=A148)*IF(Prévisions[E / S]="Sortie",IF(ISNUMBER(Prévisions[Coût TTC]),Prévisions[Coût TTC],0),0))</f>
        <v>0</v>
      </c>
      <c r="G148" s="234">
        <f t="shared" si="2"/>
        <v>0</v>
      </c>
      <c r="H148" s="235">
        <f t="shared" si="4"/>
        <v>247.69</v>
      </c>
      <c r="I148" s="236" t="str">
        <f t="shared" si="3"/>
        <v>⚡  Solde faible</v>
      </c>
      <c r="J148" s="237">
        <v>144.0</v>
      </c>
      <c r="K148" s="238"/>
    </row>
    <row r="149" ht="18.75" customHeight="1">
      <c r="A149" s="229">
        <f>DATE(Tresorerie!$E$2,1,1)+J148</f>
        <v>46167</v>
      </c>
      <c r="B149" s="240" t="str">
        <f t="shared" si="1"/>
        <v>lun.</v>
      </c>
      <c r="C149" s="231">
        <f>SUMPRODUCT((Entrées[Date]=A149)*IF(ISNUMBER(Entrées[Montant TTC]),Entrées[Montant TTC],0))</f>
        <v>0</v>
      </c>
      <c r="D149" s="232">
        <f>SUMPRODUCT((Prévisions[0]=A149)*IF(Prévisions[E / S]="Entrée",IF(ISNUMBER(Prévisions[Coût TTC]),Prévisions[Coût TTC],0),0))</f>
        <v>0</v>
      </c>
      <c r="E149" s="233">
        <f>SUMPRODUCT((Sorties[Date]=A149)*IF(ISNUMBER(Sorties[Coût TTC]),Sorties[Coût TTC],0))</f>
        <v>0</v>
      </c>
      <c r="F149" s="232">
        <f>SUMPRODUCT((Prévisions[0]=A149)*IF(Prévisions[E / S]="Sortie",IF(ISNUMBER(Prévisions[Coût TTC]),Prévisions[Coût TTC],0),0))</f>
        <v>0</v>
      </c>
      <c r="G149" s="234">
        <f t="shared" si="2"/>
        <v>0</v>
      </c>
      <c r="H149" s="235">
        <f t="shared" si="4"/>
        <v>247.69</v>
      </c>
      <c r="I149" s="236" t="str">
        <f t="shared" si="3"/>
        <v>⚡  Solde faible</v>
      </c>
      <c r="J149" s="237">
        <v>145.0</v>
      </c>
      <c r="K149" s="238"/>
    </row>
    <row r="150" ht="18.75" customHeight="1">
      <c r="A150" s="229">
        <f>DATE(Tresorerie!$E$2,1,1)+J149</f>
        <v>46168</v>
      </c>
      <c r="B150" s="230" t="str">
        <f t="shared" si="1"/>
        <v>mar.</v>
      </c>
      <c r="C150" s="231">
        <f>SUMPRODUCT((Entrées[Date]=A150)*IF(ISNUMBER(Entrées[Montant TTC]),Entrées[Montant TTC],0))</f>
        <v>0</v>
      </c>
      <c r="D150" s="232">
        <f>SUMPRODUCT((Prévisions[0]=A150)*IF(Prévisions[E / S]="Entrée",IF(ISNUMBER(Prévisions[Coût TTC]),Prévisions[Coût TTC],0),0))</f>
        <v>0</v>
      </c>
      <c r="E150" s="233">
        <f>SUMPRODUCT((Sorties[Date]=A150)*IF(ISNUMBER(Sorties[Coût TTC]),Sorties[Coût TTC],0))</f>
        <v>0</v>
      </c>
      <c r="F150" s="232">
        <f>SUMPRODUCT((Prévisions[0]=A150)*IF(Prévisions[E / S]="Sortie",IF(ISNUMBER(Prévisions[Coût TTC]),Prévisions[Coût TTC],0),0))</f>
        <v>0</v>
      </c>
      <c r="G150" s="234">
        <f t="shared" si="2"/>
        <v>0</v>
      </c>
      <c r="H150" s="235">
        <f t="shared" si="4"/>
        <v>247.69</v>
      </c>
      <c r="I150" s="236" t="str">
        <f t="shared" si="3"/>
        <v>⚡  Solde faible</v>
      </c>
      <c r="J150" s="237">
        <v>146.0</v>
      </c>
      <c r="K150" s="238"/>
    </row>
    <row r="151" ht="18.75" customHeight="1">
      <c r="A151" s="229">
        <f>DATE(Tresorerie!$E$2,1,1)+J150</f>
        <v>46169</v>
      </c>
      <c r="B151" s="230" t="str">
        <f t="shared" si="1"/>
        <v>mer.</v>
      </c>
      <c r="C151" s="231">
        <f>SUMPRODUCT((Entrées[Date]=A151)*IF(ISNUMBER(Entrées[Montant TTC]),Entrées[Montant TTC],0))</f>
        <v>0</v>
      </c>
      <c r="D151" s="232">
        <f>SUMPRODUCT((Prévisions[0]=A151)*IF(Prévisions[E / S]="Entrée",IF(ISNUMBER(Prévisions[Coût TTC]),Prévisions[Coût TTC],0),0))</f>
        <v>0</v>
      </c>
      <c r="E151" s="233">
        <f>SUMPRODUCT((Sorties[Date]=A151)*IF(ISNUMBER(Sorties[Coût TTC]),Sorties[Coût TTC],0))</f>
        <v>0</v>
      </c>
      <c r="F151" s="232">
        <f>SUMPRODUCT((Prévisions[0]=A151)*IF(Prévisions[E / S]="Sortie",IF(ISNUMBER(Prévisions[Coût TTC]),Prévisions[Coût TTC],0),0))</f>
        <v>0</v>
      </c>
      <c r="G151" s="234">
        <f t="shared" si="2"/>
        <v>0</v>
      </c>
      <c r="H151" s="235">
        <f t="shared" si="4"/>
        <v>247.69</v>
      </c>
      <c r="I151" s="236" t="str">
        <f t="shared" si="3"/>
        <v>⚡  Solde faible</v>
      </c>
      <c r="J151" s="237">
        <v>147.0</v>
      </c>
      <c r="K151" s="238"/>
    </row>
    <row r="152" ht="18.75" customHeight="1">
      <c r="A152" s="229">
        <f>DATE(Tresorerie!$E$2,1,1)+J151</f>
        <v>46170</v>
      </c>
      <c r="B152" s="230" t="str">
        <f t="shared" si="1"/>
        <v>jeu.</v>
      </c>
      <c r="C152" s="231">
        <f>SUMPRODUCT((Entrées[Date]=A152)*IF(ISNUMBER(Entrées[Montant TTC]),Entrées[Montant TTC],0))</f>
        <v>0</v>
      </c>
      <c r="D152" s="232">
        <f>SUMPRODUCT((Prévisions[0]=A152)*IF(Prévisions[E / S]="Entrée",IF(ISNUMBER(Prévisions[Coût TTC]),Prévisions[Coût TTC],0),0))</f>
        <v>0</v>
      </c>
      <c r="E152" s="233">
        <f>SUMPRODUCT((Sorties[Date]=A152)*IF(ISNUMBER(Sorties[Coût TTC]),Sorties[Coût TTC],0))</f>
        <v>0</v>
      </c>
      <c r="F152" s="232">
        <f>SUMPRODUCT((Prévisions[0]=A152)*IF(Prévisions[E / S]="Sortie",IF(ISNUMBER(Prévisions[Coût TTC]),Prévisions[Coût TTC],0),0))</f>
        <v>0</v>
      </c>
      <c r="G152" s="234">
        <f t="shared" si="2"/>
        <v>0</v>
      </c>
      <c r="H152" s="235">
        <f t="shared" si="4"/>
        <v>247.69</v>
      </c>
      <c r="I152" s="236" t="str">
        <f t="shared" si="3"/>
        <v>⚡  Solde faible</v>
      </c>
      <c r="J152" s="237">
        <v>148.0</v>
      </c>
      <c r="K152" s="238"/>
    </row>
    <row r="153" ht="18.75" customHeight="1">
      <c r="A153" s="229">
        <f>DATE(Tresorerie!$E$2,1,1)+J152</f>
        <v>46171</v>
      </c>
      <c r="B153" s="230" t="str">
        <f t="shared" si="1"/>
        <v>ven.</v>
      </c>
      <c r="C153" s="231">
        <f>SUMPRODUCT((Entrées[Date]=A153)*IF(ISNUMBER(Entrées[Montant TTC]),Entrées[Montant TTC],0))</f>
        <v>0</v>
      </c>
      <c r="D153" s="232">
        <f>SUMPRODUCT((Prévisions[0]=A153)*IF(Prévisions[E / S]="Entrée",IF(ISNUMBER(Prévisions[Coût TTC]),Prévisions[Coût TTC],0),0))</f>
        <v>0</v>
      </c>
      <c r="E153" s="233">
        <f>SUMPRODUCT((Sorties[Date]=A153)*IF(ISNUMBER(Sorties[Coût TTC]),Sorties[Coût TTC],0))</f>
        <v>0</v>
      </c>
      <c r="F153" s="232">
        <f>SUMPRODUCT((Prévisions[0]=A153)*IF(Prévisions[E / S]="Sortie",IF(ISNUMBER(Prévisions[Coût TTC]),Prévisions[Coût TTC],0),0))</f>
        <v>0</v>
      </c>
      <c r="G153" s="234">
        <f t="shared" si="2"/>
        <v>0</v>
      </c>
      <c r="H153" s="235">
        <f t="shared" si="4"/>
        <v>247.69</v>
      </c>
      <c r="I153" s="236" t="str">
        <f t="shared" si="3"/>
        <v>⚡  Solde faible</v>
      </c>
      <c r="J153" s="237">
        <v>149.0</v>
      </c>
      <c r="K153" s="238"/>
    </row>
    <row r="154" ht="18.75" customHeight="1">
      <c r="A154" s="229">
        <f>DATE(Tresorerie!$E$2,1,1)+J153</f>
        <v>46172</v>
      </c>
      <c r="B154" s="239" t="str">
        <f t="shared" si="1"/>
        <v>sam.</v>
      </c>
      <c r="C154" s="231">
        <f>SUMPRODUCT((Entrées[Date]=A154)*IF(ISNUMBER(Entrées[Montant TTC]),Entrées[Montant TTC],0))</f>
        <v>0</v>
      </c>
      <c r="D154" s="232">
        <f>SUMPRODUCT((Prévisions[0]=A154)*IF(Prévisions[E / S]="Entrée",IF(ISNUMBER(Prévisions[Coût TTC]),Prévisions[Coût TTC],0),0))</f>
        <v>0</v>
      </c>
      <c r="E154" s="233">
        <f>SUMPRODUCT((Sorties[Date]=A154)*IF(ISNUMBER(Sorties[Coût TTC]),Sorties[Coût TTC],0))</f>
        <v>0</v>
      </c>
      <c r="F154" s="232">
        <f>SUMPRODUCT((Prévisions[0]=A154)*IF(Prévisions[E / S]="Sortie",IF(ISNUMBER(Prévisions[Coût TTC]),Prévisions[Coût TTC],0),0))</f>
        <v>0</v>
      </c>
      <c r="G154" s="234">
        <f t="shared" si="2"/>
        <v>0</v>
      </c>
      <c r="H154" s="235">
        <f t="shared" si="4"/>
        <v>247.69</v>
      </c>
      <c r="I154" s="236" t="str">
        <f t="shared" si="3"/>
        <v>⚡  Solde faible</v>
      </c>
      <c r="J154" s="237">
        <v>150.0</v>
      </c>
      <c r="K154" s="238"/>
    </row>
    <row r="155" ht="18.75" customHeight="1">
      <c r="A155" s="229">
        <f>DATE(Tresorerie!$E$2,1,1)+J154</f>
        <v>46173</v>
      </c>
      <c r="B155" s="239" t="str">
        <f t="shared" si="1"/>
        <v>dim.</v>
      </c>
      <c r="C155" s="231">
        <f>SUMPRODUCT((Entrées[Date]=A155)*IF(ISNUMBER(Entrées[Montant TTC]),Entrées[Montant TTC],0))</f>
        <v>0</v>
      </c>
      <c r="D155" s="232">
        <f>SUMPRODUCT((Prévisions[0]=A155)*IF(Prévisions[E / S]="Entrée",IF(ISNUMBER(Prévisions[Coût TTC]),Prévisions[Coût TTC],0),0))</f>
        <v>0</v>
      </c>
      <c r="E155" s="233">
        <f>SUMPRODUCT((Sorties[Date]=A155)*IF(ISNUMBER(Sorties[Coût TTC]),Sorties[Coût TTC],0))</f>
        <v>0</v>
      </c>
      <c r="F155" s="232">
        <f>SUMPRODUCT((Prévisions[0]=A155)*IF(Prévisions[E / S]="Sortie",IF(ISNUMBER(Prévisions[Coût TTC]),Prévisions[Coût TTC],0),0))</f>
        <v>0</v>
      </c>
      <c r="G155" s="234">
        <f t="shared" si="2"/>
        <v>0</v>
      </c>
      <c r="H155" s="235">
        <f t="shared" si="4"/>
        <v>247.69</v>
      </c>
      <c r="I155" s="236" t="str">
        <f t="shared" si="3"/>
        <v>⚡  Solde faible</v>
      </c>
      <c r="J155" s="237">
        <v>151.0</v>
      </c>
      <c r="K155" s="238"/>
    </row>
    <row r="156" ht="18.75" customHeight="1">
      <c r="A156" s="229">
        <f>DATE(Tresorerie!$E$2,1,1)+J155</f>
        <v>46174</v>
      </c>
      <c r="B156" s="240" t="str">
        <f t="shared" si="1"/>
        <v>lun.</v>
      </c>
      <c r="C156" s="231">
        <f>SUMPRODUCT((Entrées[Date]=A156)*IF(ISNUMBER(Entrées[Montant TTC]),Entrées[Montant TTC],0))</f>
        <v>0</v>
      </c>
      <c r="D156" s="232">
        <f>SUMPRODUCT((Prévisions[0]=A156)*IF(Prévisions[E / S]="Entrée",IF(ISNUMBER(Prévisions[Coût TTC]),Prévisions[Coût TTC],0),0))</f>
        <v>0</v>
      </c>
      <c r="E156" s="233">
        <f>SUMPRODUCT((Sorties[Date]=A156)*IF(ISNUMBER(Sorties[Coût TTC]),Sorties[Coût TTC],0))</f>
        <v>0</v>
      </c>
      <c r="F156" s="232">
        <f>SUMPRODUCT((Prévisions[0]=A156)*IF(Prévisions[E / S]="Sortie",IF(ISNUMBER(Prévisions[Coût TTC]),Prévisions[Coût TTC],0),0))</f>
        <v>0</v>
      </c>
      <c r="G156" s="234">
        <f t="shared" si="2"/>
        <v>0</v>
      </c>
      <c r="H156" s="235">
        <f t="shared" si="4"/>
        <v>247.69</v>
      </c>
      <c r="I156" s="236" t="str">
        <f t="shared" si="3"/>
        <v>⚡  Solde faible</v>
      </c>
      <c r="J156" s="237">
        <v>152.0</v>
      </c>
      <c r="K156" s="238"/>
    </row>
    <row r="157" ht="18.75" customHeight="1">
      <c r="A157" s="229">
        <f>DATE(Tresorerie!$E$2,1,1)+J156</f>
        <v>46175</v>
      </c>
      <c r="B157" s="230" t="str">
        <f t="shared" si="1"/>
        <v>mar.</v>
      </c>
      <c r="C157" s="231">
        <f>SUMPRODUCT((Entrées[Date]=A157)*IF(ISNUMBER(Entrées[Montant TTC]),Entrées[Montant TTC],0))</f>
        <v>0</v>
      </c>
      <c r="D157" s="232">
        <f>SUMPRODUCT((Prévisions[0]=A157)*IF(Prévisions[E / S]="Entrée",IF(ISNUMBER(Prévisions[Coût TTC]),Prévisions[Coût TTC],0),0))</f>
        <v>0</v>
      </c>
      <c r="E157" s="233">
        <f>SUMPRODUCT((Sorties[Date]=A157)*IF(ISNUMBER(Sorties[Coût TTC]),Sorties[Coût TTC],0))</f>
        <v>0</v>
      </c>
      <c r="F157" s="232">
        <f>SUMPRODUCT((Prévisions[0]=A157)*IF(Prévisions[E / S]="Sortie",IF(ISNUMBER(Prévisions[Coût TTC]),Prévisions[Coût TTC],0),0))</f>
        <v>0</v>
      </c>
      <c r="G157" s="234">
        <f t="shared" si="2"/>
        <v>0</v>
      </c>
      <c r="H157" s="235">
        <f t="shared" si="4"/>
        <v>247.69</v>
      </c>
      <c r="I157" s="236" t="str">
        <f t="shared" si="3"/>
        <v>⚡  Solde faible</v>
      </c>
      <c r="J157" s="237">
        <v>153.0</v>
      </c>
      <c r="K157" s="238"/>
    </row>
    <row r="158" ht="18.75" customHeight="1">
      <c r="A158" s="229">
        <f>DATE(Tresorerie!$E$2,1,1)+J157</f>
        <v>46176</v>
      </c>
      <c r="B158" s="230" t="str">
        <f t="shared" si="1"/>
        <v>mer.</v>
      </c>
      <c r="C158" s="231">
        <f>SUMPRODUCT((Entrées[Date]=A158)*IF(ISNUMBER(Entrées[Montant TTC]),Entrées[Montant TTC],0))</f>
        <v>0</v>
      </c>
      <c r="D158" s="232">
        <f>SUMPRODUCT((Prévisions[0]=A158)*IF(Prévisions[E / S]="Entrée",IF(ISNUMBER(Prévisions[Coût TTC]),Prévisions[Coût TTC],0),0))</f>
        <v>0</v>
      </c>
      <c r="E158" s="233">
        <f>SUMPRODUCT((Sorties[Date]=A158)*IF(ISNUMBER(Sorties[Coût TTC]),Sorties[Coût TTC],0))</f>
        <v>0</v>
      </c>
      <c r="F158" s="232">
        <f>SUMPRODUCT((Prévisions[0]=A158)*IF(Prévisions[E / S]="Sortie",IF(ISNUMBER(Prévisions[Coût TTC]),Prévisions[Coût TTC],0),0))</f>
        <v>0</v>
      </c>
      <c r="G158" s="234">
        <f t="shared" si="2"/>
        <v>0</v>
      </c>
      <c r="H158" s="235">
        <f t="shared" si="4"/>
        <v>247.69</v>
      </c>
      <c r="I158" s="236" t="str">
        <f t="shared" si="3"/>
        <v>⚡  Solde faible</v>
      </c>
      <c r="J158" s="237">
        <v>154.0</v>
      </c>
      <c r="K158" s="238"/>
    </row>
    <row r="159" ht="18.75" customHeight="1">
      <c r="A159" s="229">
        <f>DATE(Tresorerie!$E$2,1,1)+J158</f>
        <v>46177</v>
      </c>
      <c r="B159" s="230" t="str">
        <f t="shared" si="1"/>
        <v>jeu.</v>
      </c>
      <c r="C159" s="231">
        <f>SUMPRODUCT((Entrées[Date]=A159)*IF(ISNUMBER(Entrées[Montant TTC]),Entrées[Montant TTC],0))</f>
        <v>0</v>
      </c>
      <c r="D159" s="232">
        <f>SUMPRODUCT((Prévisions[0]=A159)*IF(Prévisions[E / S]="Entrée",IF(ISNUMBER(Prévisions[Coût TTC]),Prévisions[Coût TTC],0),0))</f>
        <v>0</v>
      </c>
      <c r="E159" s="233">
        <f>SUMPRODUCT((Sorties[Date]=A159)*IF(ISNUMBER(Sorties[Coût TTC]),Sorties[Coût TTC],0))</f>
        <v>0</v>
      </c>
      <c r="F159" s="232">
        <f>SUMPRODUCT((Prévisions[0]=A159)*IF(Prévisions[E / S]="Sortie",IF(ISNUMBER(Prévisions[Coût TTC]),Prévisions[Coût TTC],0),0))</f>
        <v>0</v>
      </c>
      <c r="G159" s="234">
        <f t="shared" si="2"/>
        <v>0</v>
      </c>
      <c r="H159" s="235">
        <f t="shared" si="4"/>
        <v>247.69</v>
      </c>
      <c r="I159" s="236" t="str">
        <f t="shared" si="3"/>
        <v>⚡  Solde faible</v>
      </c>
      <c r="J159" s="237">
        <v>155.0</v>
      </c>
      <c r="K159" s="238"/>
    </row>
    <row r="160" ht="18.75" customHeight="1">
      <c r="A160" s="229">
        <f>DATE(Tresorerie!$E$2,1,1)+J159</f>
        <v>46178</v>
      </c>
      <c r="B160" s="230" t="str">
        <f t="shared" si="1"/>
        <v>ven.</v>
      </c>
      <c r="C160" s="231">
        <f>SUMPRODUCT((Entrées[Date]=A160)*IF(ISNUMBER(Entrées[Montant TTC]),Entrées[Montant TTC],0))</f>
        <v>0</v>
      </c>
      <c r="D160" s="232">
        <f>SUMPRODUCT((Prévisions[0]=A160)*IF(Prévisions[E / S]="Entrée",IF(ISNUMBER(Prévisions[Coût TTC]),Prévisions[Coût TTC],0),0))</f>
        <v>0</v>
      </c>
      <c r="E160" s="233">
        <f>SUMPRODUCT((Sorties[Date]=A160)*IF(ISNUMBER(Sorties[Coût TTC]),Sorties[Coût TTC],0))</f>
        <v>0</v>
      </c>
      <c r="F160" s="232">
        <f>SUMPRODUCT((Prévisions[0]=A160)*IF(Prévisions[E / S]="Sortie",IF(ISNUMBER(Prévisions[Coût TTC]),Prévisions[Coût TTC],0),0))</f>
        <v>0</v>
      </c>
      <c r="G160" s="234">
        <f t="shared" si="2"/>
        <v>0</v>
      </c>
      <c r="H160" s="235">
        <f t="shared" si="4"/>
        <v>247.69</v>
      </c>
      <c r="I160" s="236" t="str">
        <f t="shared" si="3"/>
        <v>⚡  Solde faible</v>
      </c>
      <c r="J160" s="237">
        <v>156.0</v>
      </c>
      <c r="K160" s="238"/>
    </row>
    <row r="161" ht="18.75" customHeight="1">
      <c r="A161" s="229">
        <f>DATE(Tresorerie!$E$2,1,1)+J160</f>
        <v>46179</v>
      </c>
      <c r="B161" s="239" t="str">
        <f t="shared" si="1"/>
        <v>sam.</v>
      </c>
      <c r="C161" s="231">
        <f>SUMPRODUCT((Entrées[Date]=A161)*IF(ISNUMBER(Entrées[Montant TTC]),Entrées[Montant TTC],0))</f>
        <v>0</v>
      </c>
      <c r="D161" s="232">
        <f>SUMPRODUCT((Prévisions[0]=A161)*IF(Prévisions[E / S]="Entrée",IF(ISNUMBER(Prévisions[Coût TTC]),Prévisions[Coût TTC],0),0))</f>
        <v>0</v>
      </c>
      <c r="E161" s="233">
        <f>SUMPRODUCT((Sorties[Date]=A161)*IF(ISNUMBER(Sorties[Coût TTC]),Sorties[Coût TTC],0))</f>
        <v>0</v>
      </c>
      <c r="F161" s="232">
        <f>SUMPRODUCT((Prévisions[0]=A161)*IF(Prévisions[E / S]="Sortie",IF(ISNUMBER(Prévisions[Coût TTC]),Prévisions[Coût TTC],0),0))</f>
        <v>120</v>
      </c>
      <c r="G161" s="234">
        <f t="shared" si="2"/>
        <v>-120</v>
      </c>
      <c r="H161" s="235">
        <f t="shared" si="4"/>
        <v>127.69</v>
      </c>
      <c r="I161" s="236" t="str">
        <f t="shared" si="3"/>
        <v>⚡  Solde faible</v>
      </c>
      <c r="J161" s="237">
        <v>157.0</v>
      </c>
      <c r="K161" s="238"/>
    </row>
    <row r="162" ht="18.75" customHeight="1">
      <c r="A162" s="229">
        <f>DATE(Tresorerie!$E$2,1,1)+J161</f>
        <v>46180</v>
      </c>
      <c r="B162" s="239" t="str">
        <f t="shared" si="1"/>
        <v>dim.</v>
      </c>
      <c r="C162" s="231">
        <f>SUMPRODUCT((Entrées[Date]=A162)*IF(ISNUMBER(Entrées[Montant TTC]),Entrées[Montant TTC],0))</f>
        <v>0</v>
      </c>
      <c r="D162" s="232">
        <f>SUMPRODUCT((Prévisions[0]=A162)*IF(Prévisions[E / S]="Entrée",IF(ISNUMBER(Prévisions[Coût TTC]),Prévisions[Coût TTC],0),0))</f>
        <v>0</v>
      </c>
      <c r="E162" s="233">
        <f>SUMPRODUCT((Sorties[Date]=A162)*IF(ISNUMBER(Sorties[Coût TTC]),Sorties[Coût TTC],0))</f>
        <v>0</v>
      </c>
      <c r="F162" s="232">
        <f>SUMPRODUCT((Prévisions[0]=A162)*IF(Prévisions[E / S]="Sortie",IF(ISNUMBER(Prévisions[Coût TTC]),Prévisions[Coût TTC],0),0))</f>
        <v>0</v>
      </c>
      <c r="G162" s="234">
        <f t="shared" si="2"/>
        <v>0</v>
      </c>
      <c r="H162" s="235">
        <f t="shared" si="4"/>
        <v>127.69</v>
      </c>
      <c r="I162" s="236" t="str">
        <f t="shared" si="3"/>
        <v>⚡  Solde faible</v>
      </c>
      <c r="J162" s="237">
        <v>158.0</v>
      </c>
      <c r="K162" s="238"/>
    </row>
    <row r="163" ht="18.75" customHeight="1">
      <c r="A163" s="229">
        <f>DATE(Tresorerie!$E$2,1,1)+J162</f>
        <v>46181</v>
      </c>
      <c r="B163" s="240" t="str">
        <f t="shared" si="1"/>
        <v>lun.</v>
      </c>
      <c r="C163" s="231">
        <f>SUMPRODUCT((Entrées[Date]=A163)*IF(ISNUMBER(Entrées[Montant TTC]),Entrées[Montant TTC],0))</f>
        <v>0</v>
      </c>
      <c r="D163" s="232">
        <f>SUMPRODUCT((Prévisions[0]=A163)*IF(Prévisions[E / S]="Entrée",IF(ISNUMBER(Prévisions[Coût TTC]),Prévisions[Coût TTC],0),0))</f>
        <v>0</v>
      </c>
      <c r="E163" s="233">
        <f>SUMPRODUCT((Sorties[Date]=A163)*IF(ISNUMBER(Sorties[Coût TTC]),Sorties[Coût TTC],0))</f>
        <v>0</v>
      </c>
      <c r="F163" s="232">
        <f>SUMPRODUCT((Prévisions[0]=A163)*IF(Prévisions[E / S]="Sortie",IF(ISNUMBER(Prévisions[Coût TTC]),Prévisions[Coût TTC],0),0))</f>
        <v>0</v>
      </c>
      <c r="G163" s="234">
        <f t="shared" si="2"/>
        <v>0</v>
      </c>
      <c r="H163" s="235">
        <f t="shared" si="4"/>
        <v>127.69</v>
      </c>
      <c r="I163" s="236" t="str">
        <f t="shared" si="3"/>
        <v>⚡  Solde faible</v>
      </c>
      <c r="J163" s="237">
        <v>159.0</v>
      </c>
      <c r="K163" s="238"/>
    </row>
    <row r="164" ht="18.75" customHeight="1">
      <c r="A164" s="229">
        <f>DATE(Tresorerie!$E$2,1,1)+J163</f>
        <v>46182</v>
      </c>
      <c r="B164" s="230" t="str">
        <f t="shared" si="1"/>
        <v>mar.</v>
      </c>
      <c r="C164" s="231">
        <f>SUMPRODUCT((Entrées[Date]=A164)*IF(ISNUMBER(Entrées[Montant TTC]),Entrées[Montant TTC],0))</f>
        <v>0</v>
      </c>
      <c r="D164" s="232">
        <f>SUMPRODUCT((Prévisions[0]=A164)*IF(Prévisions[E / S]="Entrée",IF(ISNUMBER(Prévisions[Coût TTC]),Prévisions[Coût TTC],0),0))</f>
        <v>0</v>
      </c>
      <c r="E164" s="233">
        <f>SUMPRODUCT((Sorties[Date]=A164)*IF(ISNUMBER(Sorties[Coût TTC]),Sorties[Coût TTC],0))</f>
        <v>0</v>
      </c>
      <c r="F164" s="232">
        <f>SUMPRODUCT((Prévisions[0]=A164)*IF(Prévisions[E / S]="Sortie",IF(ISNUMBER(Prévisions[Coût TTC]),Prévisions[Coût TTC],0),0))</f>
        <v>0</v>
      </c>
      <c r="G164" s="234">
        <f t="shared" si="2"/>
        <v>0</v>
      </c>
      <c r="H164" s="235">
        <f t="shared" si="4"/>
        <v>127.69</v>
      </c>
      <c r="I164" s="236" t="str">
        <f t="shared" si="3"/>
        <v>⚡  Solde faible</v>
      </c>
      <c r="J164" s="237">
        <v>160.0</v>
      </c>
      <c r="K164" s="238"/>
    </row>
    <row r="165" ht="18.75" customHeight="1">
      <c r="A165" s="229">
        <f>DATE(Tresorerie!$E$2,1,1)+J164</f>
        <v>46183</v>
      </c>
      <c r="B165" s="230" t="str">
        <f t="shared" si="1"/>
        <v>mer.</v>
      </c>
      <c r="C165" s="231">
        <f>SUMPRODUCT((Entrées[Date]=A165)*IF(ISNUMBER(Entrées[Montant TTC]),Entrées[Montant TTC],0))</f>
        <v>0</v>
      </c>
      <c r="D165" s="232">
        <f>SUMPRODUCT((Prévisions[0]=A165)*IF(Prévisions[E / S]="Entrée",IF(ISNUMBER(Prévisions[Coût TTC]),Prévisions[Coût TTC],0),0))</f>
        <v>0</v>
      </c>
      <c r="E165" s="233">
        <f>SUMPRODUCT((Sorties[Date]=A165)*IF(ISNUMBER(Sorties[Coût TTC]),Sorties[Coût TTC],0))</f>
        <v>0</v>
      </c>
      <c r="F165" s="232">
        <f>SUMPRODUCT((Prévisions[0]=A165)*IF(Prévisions[E / S]="Sortie",IF(ISNUMBER(Prévisions[Coût TTC]),Prévisions[Coût TTC],0),0))</f>
        <v>0</v>
      </c>
      <c r="G165" s="234">
        <f t="shared" si="2"/>
        <v>0</v>
      </c>
      <c r="H165" s="235">
        <f t="shared" si="4"/>
        <v>127.69</v>
      </c>
      <c r="I165" s="236" t="str">
        <f t="shared" si="3"/>
        <v>⚡  Solde faible</v>
      </c>
      <c r="J165" s="237">
        <v>161.0</v>
      </c>
      <c r="K165" s="238"/>
    </row>
    <row r="166" ht="18.75" customHeight="1">
      <c r="A166" s="229">
        <f>DATE(Tresorerie!$E$2,1,1)+J165</f>
        <v>46184</v>
      </c>
      <c r="B166" s="230" t="str">
        <f t="shared" si="1"/>
        <v>jeu.</v>
      </c>
      <c r="C166" s="231">
        <f>SUMPRODUCT((Entrées[Date]=A166)*IF(ISNUMBER(Entrées[Montant TTC]),Entrées[Montant TTC],0))</f>
        <v>0</v>
      </c>
      <c r="D166" s="232">
        <f>SUMPRODUCT((Prévisions[0]=A166)*IF(Prévisions[E / S]="Entrée",IF(ISNUMBER(Prévisions[Coût TTC]),Prévisions[Coût TTC],0),0))</f>
        <v>0</v>
      </c>
      <c r="E166" s="233">
        <f>SUMPRODUCT((Sorties[Date]=A166)*IF(ISNUMBER(Sorties[Coût TTC]),Sorties[Coût TTC],0))</f>
        <v>0</v>
      </c>
      <c r="F166" s="232">
        <f>SUMPRODUCT((Prévisions[0]=A166)*IF(Prévisions[E / S]="Sortie",IF(ISNUMBER(Prévisions[Coût TTC]),Prévisions[Coût TTC],0),0))</f>
        <v>0</v>
      </c>
      <c r="G166" s="234">
        <f t="shared" si="2"/>
        <v>0</v>
      </c>
      <c r="H166" s="235">
        <f t="shared" si="4"/>
        <v>127.69</v>
      </c>
      <c r="I166" s="236" t="str">
        <f t="shared" si="3"/>
        <v>⚡  Solde faible</v>
      </c>
      <c r="J166" s="237">
        <v>162.0</v>
      </c>
      <c r="K166" s="238"/>
    </row>
    <row r="167" ht="18.75" customHeight="1">
      <c r="A167" s="229">
        <f>DATE(Tresorerie!$E$2,1,1)+J166</f>
        <v>46185</v>
      </c>
      <c r="B167" s="230" t="str">
        <f t="shared" si="1"/>
        <v>ven.</v>
      </c>
      <c r="C167" s="231">
        <f>SUMPRODUCT((Entrées[Date]=A167)*IF(ISNUMBER(Entrées[Montant TTC]),Entrées[Montant TTC],0))</f>
        <v>0</v>
      </c>
      <c r="D167" s="232">
        <f>SUMPRODUCT((Prévisions[0]=A167)*IF(Prévisions[E / S]="Entrée",IF(ISNUMBER(Prévisions[Coût TTC]),Prévisions[Coût TTC],0),0))</f>
        <v>0</v>
      </c>
      <c r="E167" s="233">
        <f>SUMPRODUCT((Sorties[Date]=A167)*IF(ISNUMBER(Sorties[Coût TTC]),Sorties[Coût TTC],0))</f>
        <v>0</v>
      </c>
      <c r="F167" s="232">
        <f>SUMPRODUCT((Prévisions[0]=A167)*IF(Prévisions[E / S]="Sortie",IF(ISNUMBER(Prévisions[Coût TTC]),Prévisions[Coût TTC],0),0))</f>
        <v>0</v>
      </c>
      <c r="G167" s="234">
        <f t="shared" si="2"/>
        <v>0</v>
      </c>
      <c r="H167" s="235">
        <f t="shared" si="4"/>
        <v>127.69</v>
      </c>
      <c r="I167" s="236" t="str">
        <f t="shared" si="3"/>
        <v>⚡  Solde faible</v>
      </c>
      <c r="J167" s="237">
        <v>163.0</v>
      </c>
      <c r="K167" s="238"/>
    </row>
    <row r="168" ht="18.75" customHeight="1">
      <c r="A168" s="229">
        <f>DATE(Tresorerie!$E$2,1,1)+J167</f>
        <v>46186</v>
      </c>
      <c r="B168" s="239" t="str">
        <f t="shared" si="1"/>
        <v>sam.</v>
      </c>
      <c r="C168" s="231">
        <f>SUMPRODUCT((Entrées[Date]=A168)*IF(ISNUMBER(Entrées[Montant TTC]),Entrées[Montant TTC],0))</f>
        <v>0</v>
      </c>
      <c r="D168" s="232">
        <f>SUMPRODUCT((Prévisions[0]=A168)*IF(Prévisions[E / S]="Entrée",IF(ISNUMBER(Prévisions[Coût TTC]),Prévisions[Coût TTC],0),0))</f>
        <v>0</v>
      </c>
      <c r="E168" s="233">
        <f>SUMPRODUCT((Sorties[Date]=A168)*IF(ISNUMBER(Sorties[Coût TTC]),Sorties[Coût TTC],0))</f>
        <v>0</v>
      </c>
      <c r="F168" s="232">
        <f>SUMPRODUCT((Prévisions[0]=A168)*IF(Prévisions[E / S]="Sortie",IF(ISNUMBER(Prévisions[Coût TTC]),Prévisions[Coût TTC],0),0))</f>
        <v>0</v>
      </c>
      <c r="G168" s="234">
        <f t="shared" si="2"/>
        <v>0</v>
      </c>
      <c r="H168" s="235">
        <f t="shared" si="4"/>
        <v>127.69</v>
      </c>
      <c r="I168" s="236" t="str">
        <f t="shared" si="3"/>
        <v>⚡  Solde faible</v>
      </c>
      <c r="J168" s="237">
        <v>164.0</v>
      </c>
      <c r="K168" s="238"/>
    </row>
    <row r="169" ht="18.75" customHeight="1">
      <c r="A169" s="229">
        <f>DATE(Tresorerie!$E$2,1,1)+J168</f>
        <v>46187</v>
      </c>
      <c r="B169" s="239" t="str">
        <f t="shared" si="1"/>
        <v>dim.</v>
      </c>
      <c r="C169" s="231">
        <f>SUMPRODUCT((Entrées[Date]=A169)*IF(ISNUMBER(Entrées[Montant TTC]),Entrées[Montant TTC],0))</f>
        <v>0</v>
      </c>
      <c r="D169" s="232">
        <f>SUMPRODUCT((Prévisions[0]=A169)*IF(Prévisions[E / S]="Entrée",IF(ISNUMBER(Prévisions[Coût TTC]),Prévisions[Coût TTC],0),0))</f>
        <v>0</v>
      </c>
      <c r="E169" s="233">
        <f>SUMPRODUCT((Sorties[Date]=A169)*IF(ISNUMBER(Sorties[Coût TTC]),Sorties[Coût TTC],0))</f>
        <v>0</v>
      </c>
      <c r="F169" s="232">
        <f>SUMPRODUCT((Prévisions[0]=A169)*IF(Prévisions[E / S]="Sortie",IF(ISNUMBER(Prévisions[Coût TTC]),Prévisions[Coût TTC],0),0))</f>
        <v>0</v>
      </c>
      <c r="G169" s="234">
        <f t="shared" si="2"/>
        <v>0</v>
      </c>
      <c r="H169" s="235">
        <f t="shared" si="4"/>
        <v>127.69</v>
      </c>
      <c r="I169" s="236" t="str">
        <f t="shared" si="3"/>
        <v>⚡  Solde faible</v>
      </c>
      <c r="J169" s="237">
        <v>165.0</v>
      </c>
      <c r="K169" s="238"/>
    </row>
    <row r="170" ht="18.75" customHeight="1">
      <c r="A170" s="229">
        <f>DATE(Tresorerie!$E$2,1,1)+J169</f>
        <v>46188</v>
      </c>
      <c r="B170" s="240" t="str">
        <f t="shared" si="1"/>
        <v>lun.</v>
      </c>
      <c r="C170" s="231">
        <f>SUMPRODUCT((Entrées[Date]=A170)*IF(ISNUMBER(Entrées[Montant TTC]),Entrées[Montant TTC],0))</f>
        <v>0</v>
      </c>
      <c r="D170" s="232">
        <f>SUMPRODUCT((Prévisions[0]=A170)*IF(Prévisions[E / S]="Entrée",IF(ISNUMBER(Prévisions[Coût TTC]),Prévisions[Coût TTC],0),0))</f>
        <v>0</v>
      </c>
      <c r="E170" s="233">
        <f>SUMPRODUCT((Sorties[Date]=A170)*IF(ISNUMBER(Sorties[Coût TTC]),Sorties[Coût TTC],0))</f>
        <v>0</v>
      </c>
      <c r="F170" s="232">
        <f>SUMPRODUCT((Prévisions[0]=A170)*IF(Prévisions[E / S]="Sortie",IF(ISNUMBER(Prévisions[Coût TTC]),Prévisions[Coût TTC],0),0))</f>
        <v>52.99</v>
      </c>
      <c r="G170" s="234">
        <f t="shared" si="2"/>
        <v>-52.99</v>
      </c>
      <c r="H170" s="235">
        <f t="shared" si="4"/>
        <v>74.7</v>
      </c>
      <c r="I170" s="236" t="str">
        <f t="shared" si="3"/>
        <v>⚡  Solde faible</v>
      </c>
      <c r="J170" s="237">
        <v>166.0</v>
      </c>
      <c r="K170" s="238"/>
    </row>
    <row r="171" ht="18.75" customHeight="1">
      <c r="A171" s="229">
        <f>DATE(Tresorerie!$E$2,1,1)+J170</f>
        <v>46189</v>
      </c>
      <c r="B171" s="230" t="str">
        <f t="shared" si="1"/>
        <v>mar.</v>
      </c>
      <c r="C171" s="231">
        <f>SUMPRODUCT((Entrées[Date]=A171)*IF(ISNUMBER(Entrées[Montant TTC]),Entrées[Montant TTC],0))</f>
        <v>0</v>
      </c>
      <c r="D171" s="232">
        <f>SUMPRODUCT((Prévisions[0]=A171)*IF(Prévisions[E / S]="Entrée",IF(ISNUMBER(Prévisions[Coût TTC]),Prévisions[Coût TTC],0),0))</f>
        <v>0</v>
      </c>
      <c r="E171" s="233">
        <f>SUMPRODUCT((Sorties[Date]=A171)*IF(ISNUMBER(Sorties[Coût TTC]),Sorties[Coût TTC],0))</f>
        <v>0</v>
      </c>
      <c r="F171" s="232">
        <f>SUMPRODUCT((Prévisions[0]=A171)*IF(Prévisions[E / S]="Sortie",IF(ISNUMBER(Prévisions[Coût TTC]),Prévisions[Coût TTC],0),0))</f>
        <v>0</v>
      </c>
      <c r="G171" s="234">
        <f t="shared" si="2"/>
        <v>0</v>
      </c>
      <c r="H171" s="235">
        <f t="shared" si="4"/>
        <v>74.7</v>
      </c>
      <c r="I171" s="236" t="str">
        <f t="shared" si="3"/>
        <v>⚡  Solde faible</v>
      </c>
      <c r="J171" s="237">
        <v>167.0</v>
      </c>
      <c r="K171" s="238"/>
    </row>
    <row r="172" ht="18.75" customHeight="1">
      <c r="A172" s="229">
        <f>DATE(Tresorerie!$E$2,1,1)+J171</f>
        <v>46190</v>
      </c>
      <c r="B172" s="230" t="str">
        <f t="shared" si="1"/>
        <v>mer.</v>
      </c>
      <c r="C172" s="231">
        <f>SUMPRODUCT((Entrées[Date]=A172)*IF(ISNUMBER(Entrées[Montant TTC]),Entrées[Montant TTC],0))</f>
        <v>0</v>
      </c>
      <c r="D172" s="232">
        <f>SUMPRODUCT((Prévisions[0]=A172)*IF(Prévisions[E / S]="Entrée",IF(ISNUMBER(Prévisions[Coût TTC]),Prévisions[Coût TTC],0),0))</f>
        <v>0</v>
      </c>
      <c r="E172" s="233">
        <f>SUMPRODUCT((Sorties[Date]=A172)*IF(ISNUMBER(Sorties[Coût TTC]),Sorties[Coût TTC],0))</f>
        <v>0</v>
      </c>
      <c r="F172" s="232">
        <f>SUMPRODUCT((Prévisions[0]=A172)*IF(Prévisions[E / S]="Sortie",IF(ISNUMBER(Prévisions[Coût TTC]),Prévisions[Coût TTC],0),0))</f>
        <v>0</v>
      </c>
      <c r="G172" s="234">
        <f t="shared" si="2"/>
        <v>0</v>
      </c>
      <c r="H172" s="235">
        <f t="shared" si="4"/>
        <v>74.7</v>
      </c>
      <c r="I172" s="236" t="str">
        <f t="shared" si="3"/>
        <v>⚡  Solde faible</v>
      </c>
      <c r="J172" s="237">
        <v>168.0</v>
      </c>
      <c r="K172" s="238"/>
    </row>
    <row r="173" ht="18.75" customHeight="1">
      <c r="A173" s="229">
        <f>DATE(Tresorerie!$E$2,1,1)+J172</f>
        <v>46191</v>
      </c>
      <c r="B173" s="230" t="str">
        <f t="shared" si="1"/>
        <v>jeu.</v>
      </c>
      <c r="C173" s="231">
        <f>SUMPRODUCT((Entrées[Date]=A173)*IF(ISNUMBER(Entrées[Montant TTC]),Entrées[Montant TTC],0))</f>
        <v>0</v>
      </c>
      <c r="D173" s="232">
        <f>SUMPRODUCT((Prévisions[0]=A173)*IF(Prévisions[E / S]="Entrée",IF(ISNUMBER(Prévisions[Coût TTC]),Prévisions[Coût TTC],0),0))</f>
        <v>0</v>
      </c>
      <c r="E173" s="233">
        <f>SUMPRODUCT((Sorties[Date]=A173)*IF(ISNUMBER(Sorties[Coût TTC]),Sorties[Coût TTC],0))</f>
        <v>0</v>
      </c>
      <c r="F173" s="232">
        <f>SUMPRODUCT((Prévisions[0]=A173)*IF(Prévisions[E / S]="Sortie",IF(ISNUMBER(Prévisions[Coût TTC]),Prévisions[Coût TTC],0),0))</f>
        <v>0</v>
      </c>
      <c r="G173" s="234">
        <f t="shared" si="2"/>
        <v>0</v>
      </c>
      <c r="H173" s="235">
        <f t="shared" si="4"/>
        <v>74.7</v>
      </c>
      <c r="I173" s="236" t="str">
        <f t="shared" si="3"/>
        <v>⚡  Solde faible</v>
      </c>
      <c r="J173" s="237">
        <v>169.0</v>
      </c>
      <c r="K173" s="238"/>
    </row>
    <row r="174" ht="18.75" customHeight="1">
      <c r="A174" s="229">
        <f>DATE(Tresorerie!$E$2,1,1)+J173</f>
        <v>46192</v>
      </c>
      <c r="B174" s="230" t="str">
        <f t="shared" si="1"/>
        <v>ven.</v>
      </c>
      <c r="C174" s="231">
        <f>SUMPRODUCT((Entrées[Date]=A174)*IF(ISNUMBER(Entrées[Montant TTC]),Entrées[Montant TTC],0))</f>
        <v>0</v>
      </c>
      <c r="D174" s="232">
        <f>SUMPRODUCT((Prévisions[0]=A174)*IF(Prévisions[E / S]="Entrée",IF(ISNUMBER(Prévisions[Coût TTC]),Prévisions[Coût TTC],0),0))</f>
        <v>0</v>
      </c>
      <c r="E174" s="233">
        <f>SUMPRODUCT((Sorties[Date]=A174)*IF(ISNUMBER(Sorties[Coût TTC]),Sorties[Coût TTC],0))</f>
        <v>0</v>
      </c>
      <c r="F174" s="232">
        <f>SUMPRODUCT((Prévisions[0]=A174)*IF(Prévisions[E / S]="Sortie",IF(ISNUMBER(Prévisions[Coût TTC]),Prévisions[Coût TTC],0),0))</f>
        <v>0</v>
      </c>
      <c r="G174" s="234">
        <f t="shared" si="2"/>
        <v>0</v>
      </c>
      <c r="H174" s="235">
        <f t="shared" si="4"/>
        <v>74.7</v>
      </c>
      <c r="I174" s="236" t="str">
        <f t="shared" si="3"/>
        <v>⚡  Solde faible</v>
      </c>
      <c r="J174" s="237">
        <v>170.0</v>
      </c>
      <c r="K174" s="238"/>
    </row>
    <row r="175" ht="18.75" customHeight="1">
      <c r="A175" s="229">
        <f>DATE(Tresorerie!$E$2,1,1)+J174</f>
        <v>46193</v>
      </c>
      <c r="B175" s="239" t="str">
        <f t="shared" si="1"/>
        <v>sam.</v>
      </c>
      <c r="C175" s="231">
        <f>SUMPRODUCT((Entrées[Date]=A175)*IF(ISNUMBER(Entrées[Montant TTC]),Entrées[Montant TTC],0))</f>
        <v>0</v>
      </c>
      <c r="D175" s="232">
        <f>SUMPRODUCT((Prévisions[0]=A175)*IF(Prévisions[E / S]="Entrée",IF(ISNUMBER(Prévisions[Coût TTC]),Prévisions[Coût TTC],0),0))</f>
        <v>0</v>
      </c>
      <c r="E175" s="233">
        <f>SUMPRODUCT((Sorties[Date]=A175)*IF(ISNUMBER(Sorties[Coût TTC]),Sorties[Coût TTC],0))</f>
        <v>0</v>
      </c>
      <c r="F175" s="232">
        <f>SUMPRODUCT((Prévisions[0]=A175)*IF(Prévisions[E / S]="Sortie",IF(ISNUMBER(Prévisions[Coût TTC]),Prévisions[Coût TTC],0),0))</f>
        <v>0</v>
      </c>
      <c r="G175" s="234">
        <f t="shared" si="2"/>
        <v>0</v>
      </c>
      <c r="H175" s="235">
        <f t="shared" si="4"/>
        <v>74.7</v>
      </c>
      <c r="I175" s="236" t="str">
        <f t="shared" si="3"/>
        <v>⚡  Solde faible</v>
      </c>
      <c r="J175" s="237">
        <v>171.0</v>
      </c>
      <c r="K175" s="238"/>
    </row>
    <row r="176" ht="18.75" customHeight="1">
      <c r="A176" s="229">
        <f>DATE(Tresorerie!$E$2,1,1)+J175</f>
        <v>46194</v>
      </c>
      <c r="B176" s="239" t="str">
        <f t="shared" si="1"/>
        <v>dim.</v>
      </c>
      <c r="C176" s="231">
        <f>SUMPRODUCT((Entrées[Date]=A176)*IF(ISNUMBER(Entrées[Montant TTC]),Entrées[Montant TTC],0))</f>
        <v>0</v>
      </c>
      <c r="D176" s="232">
        <f>SUMPRODUCT((Prévisions[0]=A176)*IF(Prévisions[E / S]="Entrée",IF(ISNUMBER(Prévisions[Coût TTC]),Prévisions[Coût TTC],0),0))</f>
        <v>325.8</v>
      </c>
      <c r="E176" s="233">
        <f>SUMPRODUCT((Sorties[Date]=A176)*IF(ISNUMBER(Sorties[Coût TTC]),Sorties[Coût TTC],0))</f>
        <v>0</v>
      </c>
      <c r="F176" s="232">
        <f>SUMPRODUCT((Prévisions[0]=A176)*IF(Prévisions[E / S]="Sortie",IF(ISNUMBER(Prévisions[Coût TTC]),Prévisions[Coût TTC],0),0))</f>
        <v>2240</v>
      </c>
      <c r="G176" s="234">
        <f t="shared" si="2"/>
        <v>-1914.2</v>
      </c>
      <c r="H176" s="235">
        <f t="shared" si="4"/>
        <v>-1839.5</v>
      </c>
      <c r="I176" s="236" t="str">
        <f t="shared" si="3"/>
        <v>⛔  DÉCOUVERT</v>
      </c>
      <c r="J176" s="237">
        <v>172.0</v>
      </c>
      <c r="K176" s="238"/>
    </row>
    <row r="177" ht="18.75" customHeight="1">
      <c r="A177" s="229">
        <f>DATE(Tresorerie!$E$2,1,1)+J176</f>
        <v>46195</v>
      </c>
      <c r="B177" s="240" t="str">
        <f t="shared" si="1"/>
        <v>lun.</v>
      </c>
      <c r="C177" s="231">
        <f>SUMPRODUCT((Entrées[Date]=A177)*IF(ISNUMBER(Entrées[Montant TTC]),Entrées[Montant TTC],0))</f>
        <v>0</v>
      </c>
      <c r="D177" s="232">
        <f>SUMPRODUCT((Prévisions[0]=A177)*IF(Prévisions[E / S]="Entrée",IF(ISNUMBER(Prévisions[Coût TTC]),Prévisions[Coût TTC],0),0))</f>
        <v>0</v>
      </c>
      <c r="E177" s="233">
        <f>SUMPRODUCT((Sorties[Date]=A177)*IF(ISNUMBER(Sorties[Coût TTC]),Sorties[Coût TTC],0))</f>
        <v>0</v>
      </c>
      <c r="F177" s="232">
        <f>SUMPRODUCT((Prévisions[0]=A177)*IF(Prévisions[E / S]="Sortie",IF(ISNUMBER(Prévisions[Coût TTC]),Prévisions[Coût TTC],0),0))</f>
        <v>0</v>
      </c>
      <c r="G177" s="234">
        <f t="shared" si="2"/>
        <v>0</v>
      </c>
      <c r="H177" s="235">
        <f t="shared" si="4"/>
        <v>-1839.5</v>
      </c>
      <c r="I177" s="236" t="str">
        <f t="shared" si="3"/>
        <v>⛔  DÉCOUVERT</v>
      </c>
      <c r="J177" s="237">
        <v>173.0</v>
      </c>
      <c r="K177" s="238"/>
    </row>
    <row r="178" ht="18.75" customHeight="1">
      <c r="A178" s="229">
        <f>DATE(Tresorerie!$E$2,1,1)+J177</f>
        <v>46196</v>
      </c>
      <c r="B178" s="230" t="str">
        <f t="shared" si="1"/>
        <v>mar.</v>
      </c>
      <c r="C178" s="231">
        <f>SUMPRODUCT((Entrées[Date]=A178)*IF(ISNUMBER(Entrées[Montant TTC]),Entrées[Montant TTC],0))</f>
        <v>0</v>
      </c>
      <c r="D178" s="232">
        <f>SUMPRODUCT((Prévisions[0]=A178)*IF(Prévisions[E / S]="Entrée",IF(ISNUMBER(Prévisions[Coût TTC]),Prévisions[Coût TTC],0),0))</f>
        <v>0</v>
      </c>
      <c r="E178" s="233">
        <f>SUMPRODUCT((Sorties[Date]=A178)*IF(ISNUMBER(Sorties[Coût TTC]),Sorties[Coût TTC],0))</f>
        <v>0</v>
      </c>
      <c r="F178" s="232">
        <f>SUMPRODUCT((Prévisions[0]=A178)*IF(Prévisions[E / S]="Sortie",IF(ISNUMBER(Prévisions[Coût TTC]),Prévisions[Coût TTC],0),0))</f>
        <v>0</v>
      </c>
      <c r="G178" s="234">
        <f t="shared" si="2"/>
        <v>0</v>
      </c>
      <c r="H178" s="235">
        <f t="shared" si="4"/>
        <v>-1839.5</v>
      </c>
      <c r="I178" s="236" t="str">
        <f t="shared" si="3"/>
        <v>⛔  DÉCOUVERT</v>
      </c>
      <c r="J178" s="237">
        <v>174.0</v>
      </c>
      <c r="K178" s="238"/>
    </row>
    <row r="179" ht="18.75" customHeight="1">
      <c r="A179" s="229">
        <f>DATE(Tresorerie!$E$2,1,1)+J178</f>
        <v>46197</v>
      </c>
      <c r="B179" s="230" t="str">
        <f t="shared" si="1"/>
        <v>mer.</v>
      </c>
      <c r="C179" s="231">
        <f>SUMPRODUCT((Entrées[Date]=A179)*IF(ISNUMBER(Entrées[Montant TTC]),Entrées[Montant TTC],0))</f>
        <v>0</v>
      </c>
      <c r="D179" s="232">
        <f>SUMPRODUCT((Prévisions[0]=A179)*IF(Prévisions[E / S]="Entrée",IF(ISNUMBER(Prévisions[Coût TTC]),Prévisions[Coût TTC],0),0))</f>
        <v>0</v>
      </c>
      <c r="E179" s="233">
        <f>SUMPRODUCT((Sorties[Date]=A179)*IF(ISNUMBER(Sorties[Coût TTC]),Sorties[Coût TTC],0))</f>
        <v>0</v>
      </c>
      <c r="F179" s="232">
        <f>SUMPRODUCT((Prévisions[0]=A179)*IF(Prévisions[E / S]="Sortie",IF(ISNUMBER(Prévisions[Coût TTC]),Prévisions[Coût TTC],0),0))</f>
        <v>0</v>
      </c>
      <c r="G179" s="234">
        <f t="shared" si="2"/>
        <v>0</v>
      </c>
      <c r="H179" s="235">
        <f t="shared" si="4"/>
        <v>-1839.5</v>
      </c>
      <c r="I179" s="236" t="str">
        <f t="shared" si="3"/>
        <v>⛔  DÉCOUVERT</v>
      </c>
      <c r="J179" s="237">
        <v>175.0</v>
      </c>
      <c r="K179" s="238"/>
    </row>
    <row r="180" ht="18.75" customHeight="1">
      <c r="A180" s="229">
        <f>DATE(Tresorerie!$E$2,1,1)+J179</f>
        <v>46198</v>
      </c>
      <c r="B180" s="230" t="str">
        <f t="shared" si="1"/>
        <v>jeu.</v>
      </c>
      <c r="C180" s="231">
        <f>SUMPRODUCT((Entrées[Date]=A180)*IF(ISNUMBER(Entrées[Montant TTC]),Entrées[Montant TTC],0))</f>
        <v>0</v>
      </c>
      <c r="D180" s="232">
        <f>SUMPRODUCT((Prévisions[0]=A180)*IF(Prévisions[E / S]="Entrée",IF(ISNUMBER(Prévisions[Coût TTC]),Prévisions[Coût TTC],0),0))</f>
        <v>0</v>
      </c>
      <c r="E180" s="233">
        <f>SUMPRODUCT((Sorties[Date]=A180)*IF(ISNUMBER(Sorties[Coût TTC]),Sorties[Coût TTC],0))</f>
        <v>0</v>
      </c>
      <c r="F180" s="232">
        <f>SUMPRODUCT((Prévisions[0]=A180)*IF(Prévisions[E / S]="Sortie",IF(ISNUMBER(Prévisions[Coût TTC]),Prévisions[Coût TTC],0),0))</f>
        <v>0</v>
      </c>
      <c r="G180" s="234">
        <f t="shared" si="2"/>
        <v>0</v>
      </c>
      <c r="H180" s="235">
        <f t="shared" si="4"/>
        <v>-1839.5</v>
      </c>
      <c r="I180" s="236" t="str">
        <f t="shared" si="3"/>
        <v>⛔  DÉCOUVERT</v>
      </c>
      <c r="J180" s="237">
        <v>176.0</v>
      </c>
      <c r="K180" s="238"/>
    </row>
    <row r="181" ht="18.75" customHeight="1">
      <c r="A181" s="229">
        <f>DATE(Tresorerie!$E$2,1,1)+J180</f>
        <v>46199</v>
      </c>
      <c r="B181" s="230" t="str">
        <f t="shared" si="1"/>
        <v>ven.</v>
      </c>
      <c r="C181" s="231">
        <f>SUMPRODUCT((Entrées[Date]=A181)*IF(ISNUMBER(Entrées[Montant TTC]),Entrées[Montant TTC],0))</f>
        <v>0</v>
      </c>
      <c r="D181" s="232">
        <f>SUMPRODUCT((Prévisions[0]=A181)*IF(Prévisions[E / S]="Entrée",IF(ISNUMBER(Prévisions[Coût TTC]),Prévisions[Coût TTC],0),0))</f>
        <v>0</v>
      </c>
      <c r="E181" s="233">
        <f>SUMPRODUCT((Sorties[Date]=A181)*IF(ISNUMBER(Sorties[Coût TTC]),Sorties[Coût TTC],0))</f>
        <v>0</v>
      </c>
      <c r="F181" s="232">
        <f>SUMPRODUCT((Prévisions[0]=A181)*IF(Prévisions[E / S]="Sortie",IF(ISNUMBER(Prévisions[Coût TTC]),Prévisions[Coût TTC],0),0))</f>
        <v>0</v>
      </c>
      <c r="G181" s="234">
        <f t="shared" si="2"/>
        <v>0</v>
      </c>
      <c r="H181" s="235">
        <f t="shared" si="4"/>
        <v>-1839.5</v>
      </c>
      <c r="I181" s="236" t="str">
        <f t="shared" si="3"/>
        <v>⛔  DÉCOUVERT</v>
      </c>
      <c r="J181" s="237">
        <v>177.0</v>
      </c>
      <c r="K181" s="238"/>
    </row>
    <row r="182" ht="18.75" customHeight="1">
      <c r="A182" s="229">
        <f>DATE(Tresorerie!$E$2,1,1)+J181</f>
        <v>46200</v>
      </c>
      <c r="B182" s="239" t="str">
        <f t="shared" si="1"/>
        <v>sam.</v>
      </c>
      <c r="C182" s="231">
        <f>SUMPRODUCT((Entrées[Date]=A182)*IF(ISNUMBER(Entrées[Montant TTC]),Entrées[Montant TTC],0))</f>
        <v>0</v>
      </c>
      <c r="D182" s="232">
        <f>SUMPRODUCT((Prévisions[0]=A182)*IF(Prévisions[E / S]="Entrée",IF(ISNUMBER(Prévisions[Coût TTC]),Prévisions[Coût TTC],0),0))</f>
        <v>0</v>
      </c>
      <c r="E182" s="233">
        <f>SUMPRODUCT((Sorties[Date]=A182)*IF(ISNUMBER(Sorties[Coût TTC]),Sorties[Coût TTC],0))</f>
        <v>0</v>
      </c>
      <c r="F182" s="232">
        <f>SUMPRODUCT((Prévisions[0]=A182)*IF(Prévisions[E / S]="Sortie",IF(ISNUMBER(Prévisions[Coût TTC]),Prévisions[Coût TTC],0),0))</f>
        <v>0</v>
      </c>
      <c r="G182" s="234">
        <f t="shared" si="2"/>
        <v>0</v>
      </c>
      <c r="H182" s="235">
        <f t="shared" si="4"/>
        <v>-1839.5</v>
      </c>
      <c r="I182" s="236" t="str">
        <f t="shared" si="3"/>
        <v>⛔  DÉCOUVERT</v>
      </c>
      <c r="J182" s="237">
        <v>178.0</v>
      </c>
      <c r="K182" s="238"/>
    </row>
    <row r="183" ht="18.75" customHeight="1">
      <c r="A183" s="229">
        <f>DATE(Tresorerie!$E$2,1,1)+J182</f>
        <v>46201</v>
      </c>
      <c r="B183" s="239" t="str">
        <f t="shared" si="1"/>
        <v>dim.</v>
      </c>
      <c r="C183" s="231">
        <f>SUMPRODUCT((Entrées[Date]=A183)*IF(ISNUMBER(Entrées[Montant TTC]),Entrées[Montant TTC],0))</f>
        <v>0</v>
      </c>
      <c r="D183" s="232">
        <f>SUMPRODUCT((Prévisions[0]=A183)*IF(Prévisions[E / S]="Entrée",IF(ISNUMBER(Prévisions[Coût TTC]),Prévisions[Coût TTC],0),0))</f>
        <v>0</v>
      </c>
      <c r="E183" s="233">
        <f>SUMPRODUCT((Sorties[Date]=A183)*IF(ISNUMBER(Sorties[Coût TTC]),Sorties[Coût TTC],0))</f>
        <v>0</v>
      </c>
      <c r="F183" s="232">
        <f>SUMPRODUCT((Prévisions[0]=A183)*IF(Prévisions[E / S]="Sortie",IF(ISNUMBER(Prévisions[Coût TTC]),Prévisions[Coût TTC],0),0))</f>
        <v>0</v>
      </c>
      <c r="G183" s="234">
        <f t="shared" si="2"/>
        <v>0</v>
      </c>
      <c r="H183" s="235">
        <f t="shared" si="4"/>
        <v>-1839.5</v>
      </c>
      <c r="I183" s="236" t="str">
        <f t="shared" si="3"/>
        <v>⛔  DÉCOUVERT</v>
      </c>
      <c r="J183" s="237">
        <v>179.0</v>
      </c>
      <c r="K183" s="238"/>
    </row>
    <row r="184" ht="18.75" customHeight="1">
      <c r="A184" s="229">
        <f>DATE(Tresorerie!$E$2,1,1)+J183</f>
        <v>46202</v>
      </c>
      <c r="B184" s="240" t="str">
        <f t="shared" si="1"/>
        <v>lun.</v>
      </c>
      <c r="C184" s="231">
        <f>SUMPRODUCT((Entrées[Date]=A184)*IF(ISNUMBER(Entrées[Montant TTC]),Entrées[Montant TTC],0))</f>
        <v>0</v>
      </c>
      <c r="D184" s="232">
        <f>SUMPRODUCT((Prévisions[0]=A184)*IF(Prévisions[E / S]="Entrée",IF(ISNUMBER(Prévisions[Coût TTC]),Prévisions[Coût TTC],0),0))</f>
        <v>0</v>
      </c>
      <c r="E184" s="233">
        <f>SUMPRODUCT((Sorties[Date]=A184)*IF(ISNUMBER(Sorties[Coût TTC]),Sorties[Coût TTC],0))</f>
        <v>0</v>
      </c>
      <c r="F184" s="232">
        <f>SUMPRODUCT((Prévisions[0]=A184)*IF(Prévisions[E / S]="Sortie",IF(ISNUMBER(Prévisions[Coût TTC]),Prévisions[Coût TTC],0),0))</f>
        <v>0</v>
      </c>
      <c r="G184" s="234">
        <f t="shared" si="2"/>
        <v>0</v>
      </c>
      <c r="H184" s="235">
        <f t="shared" si="4"/>
        <v>-1839.5</v>
      </c>
      <c r="I184" s="236" t="str">
        <f t="shared" si="3"/>
        <v>⛔  DÉCOUVERT</v>
      </c>
      <c r="J184" s="237">
        <v>180.0</v>
      </c>
      <c r="K184" s="238"/>
    </row>
    <row r="185" ht="18.75" customHeight="1">
      <c r="A185" s="229">
        <f>DATE(Tresorerie!$E$2,1,1)+J184</f>
        <v>46203</v>
      </c>
      <c r="B185" s="230" t="str">
        <f t="shared" si="1"/>
        <v>mar.</v>
      </c>
      <c r="C185" s="231">
        <f>SUMPRODUCT((Entrées[Date]=A185)*IF(ISNUMBER(Entrées[Montant TTC]),Entrées[Montant TTC],0))</f>
        <v>0</v>
      </c>
      <c r="D185" s="232">
        <f>SUMPRODUCT((Prévisions[0]=A185)*IF(Prévisions[E / S]="Entrée",IF(ISNUMBER(Prévisions[Coût TTC]),Prévisions[Coût TTC],0),0))</f>
        <v>0</v>
      </c>
      <c r="E185" s="233">
        <f>SUMPRODUCT((Sorties[Date]=A185)*IF(ISNUMBER(Sorties[Coût TTC]),Sorties[Coût TTC],0))</f>
        <v>0</v>
      </c>
      <c r="F185" s="232">
        <f>SUMPRODUCT((Prévisions[0]=A185)*IF(Prévisions[E / S]="Sortie",IF(ISNUMBER(Prévisions[Coût TTC]),Prévisions[Coût TTC],0),0))</f>
        <v>0</v>
      </c>
      <c r="G185" s="234">
        <f t="shared" si="2"/>
        <v>0</v>
      </c>
      <c r="H185" s="235">
        <f t="shared" si="4"/>
        <v>-1839.5</v>
      </c>
      <c r="I185" s="236" t="str">
        <f t="shared" si="3"/>
        <v>⛔  DÉCOUVERT</v>
      </c>
      <c r="J185" s="237">
        <v>181.0</v>
      </c>
      <c r="K185" s="238"/>
    </row>
    <row r="186" ht="18.75" customHeight="1">
      <c r="A186" s="229">
        <f>DATE(Tresorerie!$E$2,1,1)+J185</f>
        <v>46204</v>
      </c>
      <c r="B186" s="230" t="str">
        <f t="shared" si="1"/>
        <v>mer.</v>
      </c>
      <c r="C186" s="231">
        <f>SUMPRODUCT((Entrées[Date]=A186)*IF(ISNUMBER(Entrées[Montant TTC]),Entrées[Montant TTC],0))</f>
        <v>0</v>
      </c>
      <c r="D186" s="232">
        <f>SUMPRODUCT((Prévisions[0]=A186)*IF(Prévisions[E / S]="Entrée",IF(ISNUMBER(Prévisions[Coût TTC]),Prévisions[Coût TTC],0),0))</f>
        <v>0</v>
      </c>
      <c r="E186" s="233">
        <f>SUMPRODUCT((Sorties[Date]=A186)*IF(ISNUMBER(Sorties[Coût TTC]),Sorties[Coût TTC],0))</f>
        <v>0</v>
      </c>
      <c r="F186" s="232">
        <f>SUMPRODUCT((Prévisions[0]=A186)*IF(Prévisions[E / S]="Sortie",IF(ISNUMBER(Prévisions[Coût TTC]),Prévisions[Coût TTC],0),0))</f>
        <v>0</v>
      </c>
      <c r="G186" s="234">
        <f t="shared" si="2"/>
        <v>0</v>
      </c>
      <c r="H186" s="235">
        <f t="shared" si="4"/>
        <v>-1839.5</v>
      </c>
      <c r="I186" s="236" t="str">
        <f t="shared" si="3"/>
        <v>⛔  DÉCOUVERT</v>
      </c>
      <c r="J186" s="237">
        <v>182.0</v>
      </c>
      <c r="K186" s="238"/>
    </row>
    <row r="187" ht="18.75" customHeight="1">
      <c r="A187" s="229">
        <f>DATE(Tresorerie!$E$2,1,1)+J186</f>
        <v>46205</v>
      </c>
      <c r="B187" s="230" t="str">
        <f t="shared" si="1"/>
        <v>jeu.</v>
      </c>
      <c r="C187" s="231">
        <f>SUMPRODUCT((Entrées[Date]=A187)*IF(ISNUMBER(Entrées[Montant TTC]),Entrées[Montant TTC],0))</f>
        <v>0</v>
      </c>
      <c r="D187" s="232">
        <f>SUMPRODUCT((Prévisions[0]=A187)*IF(Prévisions[E / S]="Entrée",IF(ISNUMBER(Prévisions[Coût TTC]),Prévisions[Coût TTC],0),0))</f>
        <v>0</v>
      </c>
      <c r="E187" s="233">
        <f>SUMPRODUCT((Sorties[Date]=A187)*IF(ISNUMBER(Sorties[Coût TTC]),Sorties[Coût TTC],0))</f>
        <v>0</v>
      </c>
      <c r="F187" s="232">
        <f>SUMPRODUCT((Prévisions[0]=A187)*IF(Prévisions[E / S]="Sortie",IF(ISNUMBER(Prévisions[Coût TTC]),Prévisions[Coût TTC],0),0))</f>
        <v>0</v>
      </c>
      <c r="G187" s="234">
        <f t="shared" si="2"/>
        <v>0</v>
      </c>
      <c r="H187" s="235">
        <f t="shared" si="4"/>
        <v>-1839.5</v>
      </c>
      <c r="I187" s="236" t="str">
        <f t="shared" si="3"/>
        <v>⛔  DÉCOUVERT</v>
      </c>
      <c r="J187" s="237">
        <v>183.0</v>
      </c>
      <c r="K187" s="238"/>
    </row>
    <row r="188" ht="18.75" customHeight="1">
      <c r="A188" s="229">
        <f>DATE(Tresorerie!$E$2,1,1)+J187</f>
        <v>46206</v>
      </c>
      <c r="B188" s="230" t="str">
        <f t="shared" si="1"/>
        <v>ven.</v>
      </c>
      <c r="C188" s="231">
        <f>SUMPRODUCT((Entrées[Date]=A188)*IF(ISNUMBER(Entrées[Montant TTC]),Entrées[Montant TTC],0))</f>
        <v>0</v>
      </c>
      <c r="D188" s="232">
        <f>SUMPRODUCT((Prévisions[0]=A188)*IF(Prévisions[E / S]="Entrée",IF(ISNUMBER(Prévisions[Coût TTC]),Prévisions[Coût TTC],0),0))</f>
        <v>0</v>
      </c>
      <c r="E188" s="233">
        <f>SUMPRODUCT((Sorties[Date]=A188)*IF(ISNUMBER(Sorties[Coût TTC]),Sorties[Coût TTC],0))</f>
        <v>0</v>
      </c>
      <c r="F188" s="232">
        <f>SUMPRODUCT((Prévisions[0]=A188)*IF(Prévisions[E / S]="Sortie",IF(ISNUMBER(Prévisions[Coût TTC]),Prévisions[Coût TTC],0),0))</f>
        <v>0</v>
      </c>
      <c r="G188" s="234">
        <f t="shared" si="2"/>
        <v>0</v>
      </c>
      <c r="H188" s="235">
        <f t="shared" si="4"/>
        <v>-1839.5</v>
      </c>
      <c r="I188" s="236" t="str">
        <f t="shared" si="3"/>
        <v>⛔  DÉCOUVERT</v>
      </c>
      <c r="J188" s="237">
        <v>184.0</v>
      </c>
      <c r="K188" s="238"/>
    </row>
    <row r="189" ht="18.75" customHeight="1">
      <c r="A189" s="229">
        <f>DATE(Tresorerie!$E$2,1,1)+J188</f>
        <v>46207</v>
      </c>
      <c r="B189" s="239" t="str">
        <f t="shared" si="1"/>
        <v>sam.</v>
      </c>
      <c r="C189" s="231">
        <f>SUMPRODUCT((Entrées[Date]=A189)*IF(ISNUMBER(Entrées[Montant TTC]),Entrées[Montant TTC],0))</f>
        <v>0</v>
      </c>
      <c r="D189" s="232">
        <f>SUMPRODUCT((Prévisions[0]=A189)*IF(Prévisions[E / S]="Entrée",IF(ISNUMBER(Prévisions[Coût TTC]),Prévisions[Coût TTC],0),0))</f>
        <v>1500</v>
      </c>
      <c r="E189" s="233">
        <f>SUMPRODUCT((Sorties[Date]=A189)*IF(ISNUMBER(Sorties[Coût TTC]),Sorties[Coût TTC],0))</f>
        <v>0</v>
      </c>
      <c r="F189" s="232">
        <f>SUMPRODUCT((Prévisions[0]=A189)*IF(Prévisions[E / S]="Sortie",IF(ISNUMBER(Prévisions[Coût TTC]),Prévisions[Coût TTC],0),0))</f>
        <v>0</v>
      </c>
      <c r="G189" s="234">
        <f t="shared" si="2"/>
        <v>1500</v>
      </c>
      <c r="H189" s="235">
        <f t="shared" si="4"/>
        <v>-339.5</v>
      </c>
      <c r="I189" s="236" t="str">
        <f t="shared" si="3"/>
        <v>⛔  DÉCOUVERT</v>
      </c>
      <c r="J189" s="237">
        <v>185.0</v>
      </c>
      <c r="K189" s="238"/>
    </row>
    <row r="190" ht="18.75" customHeight="1">
      <c r="A190" s="229">
        <f>DATE(Tresorerie!$E$2,1,1)+J189</f>
        <v>46208</v>
      </c>
      <c r="B190" s="239" t="str">
        <f t="shared" si="1"/>
        <v>dim.</v>
      </c>
      <c r="C190" s="231">
        <f>SUMPRODUCT((Entrées[Date]=A190)*IF(ISNUMBER(Entrées[Montant TTC]),Entrées[Montant TTC],0))</f>
        <v>0</v>
      </c>
      <c r="D190" s="232">
        <f>SUMPRODUCT((Prévisions[0]=A190)*IF(Prévisions[E / S]="Entrée",IF(ISNUMBER(Prévisions[Coût TTC]),Prévisions[Coût TTC],0),0))</f>
        <v>0</v>
      </c>
      <c r="E190" s="233">
        <f>SUMPRODUCT((Sorties[Date]=A190)*IF(ISNUMBER(Sorties[Coût TTC]),Sorties[Coût TTC],0))</f>
        <v>0</v>
      </c>
      <c r="F190" s="232">
        <f>SUMPRODUCT((Prévisions[0]=A190)*IF(Prévisions[E / S]="Sortie",IF(ISNUMBER(Prévisions[Coût TTC]),Prévisions[Coût TTC],0),0))</f>
        <v>0</v>
      </c>
      <c r="G190" s="234">
        <f t="shared" si="2"/>
        <v>0</v>
      </c>
      <c r="H190" s="235">
        <f t="shared" si="4"/>
        <v>-339.5</v>
      </c>
      <c r="I190" s="236" t="str">
        <f t="shared" si="3"/>
        <v>⛔  DÉCOUVERT</v>
      </c>
      <c r="J190" s="237">
        <v>186.0</v>
      </c>
      <c r="K190" s="238"/>
    </row>
    <row r="191" ht="18.75" customHeight="1">
      <c r="A191" s="229">
        <f>DATE(Tresorerie!$E$2,1,1)+J190</f>
        <v>46209</v>
      </c>
      <c r="B191" s="240" t="str">
        <f t="shared" si="1"/>
        <v>lun.</v>
      </c>
      <c r="C191" s="231">
        <f>SUMPRODUCT((Entrées[Date]=A191)*IF(ISNUMBER(Entrées[Montant TTC]),Entrées[Montant TTC],0))</f>
        <v>0</v>
      </c>
      <c r="D191" s="232">
        <f>SUMPRODUCT((Prévisions[0]=A191)*IF(Prévisions[E / S]="Entrée",IF(ISNUMBER(Prévisions[Coût TTC]),Prévisions[Coût TTC],0),0))</f>
        <v>0</v>
      </c>
      <c r="E191" s="233">
        <f>SUMPRODUCT((Sorties[Date]=A191)*IF(ISNUMBER(Sorties[Coût TTC]),Sorties[Coût TTC],0))</f>
        <v>0</v>
      </c>
      <c r="F191" s="232">
        <f>SUMPRODUCT((Prévisions[0]=A191)*IF(Prévisions[E / S]="Sortie",IF(ISNUMBER(Prévisions[Coût TTC]),Prévisions[Coût TTC],0),0))</f>
        <v>0</v>
      </c>
      <c r="G191" s="234">
        <f t="shared" si="2"/>
        <v>0</v>
      </c>
      <c r="H191" s="235">
        <f t="shared" si="4"/>
        <v>-339.5</v>
      </c>
      <c r="I191" s="236" t="str">
        <f t="shared" si="3"/>
        <v>⛔  DÉCOUVERT</v>
      </c>
      <c r="J191" s="237">
        <v>187.0</v>
      </c>
      <c r="K191" s="238"/>
    </row>
    <row r="192" ht="18.75" customHeight="1">
      <c r="A192" s="229">
        <f>DATE(Tresorerie!$E$2,1,1)+J191</f>
        <v>46210</v>
      </c>
      <c r="B192" s="230" t="str">
        <f t="shared" si="1"/>
        <v>mar.</v>
      </c>
      <c r="C192" s="231">
        <f>SUMPRODUCT((Entrées[Date]=A192)*IF(ISNUMBER(Entrées[Montant TTC]),Entrées[Montant TTC],0))</f>
        <v>0</v>
      </c>
      <c r="D192" s="232">
        <f>SUMPRODUCT((Prévisions[0]=A192)*IF(Prévisions[E / S]="Entrée",IF(ISNUMBER(Prévisions[Coût TTC]),Prévisions[Coût TTC],0),0))</f>
        <v>0</v>
      </c>
      <c r="E192" s="233">
        <f>SUMPRODUCT((Sorties[Date]=A192)*IF(ISNUMBER(Sorties[Coût TTC]),Sorties[Coût TTC],0))</f>
        <v>0</v>
      </c>
      <c r="F192" s="232">
        <f>SUMPRODUCT((Prévisions[0]=A192)*IF(Prévisions[E / S]="Sortie",IF(ISNUMBER(Prévisions[Coût TTC]),Prévisions[Coût TTC],0),0))</f>
        <v>0</v>
      </c>
      <c r="G192" s="234">
        <f t="shared" si="2"/>
        <v>0</v>
      </c>
      <c r="H192" s="235">
        <f t="shared" si="4"/>
        <v>-339.5</v>
      </c>
      <c r="I192" s="236" t="str">
        <f t="shared" si="3"/>
        <v>⛔  DÉCOUVERT</v>
      </c>
      <c r="J192" s="237">
        <v>188.0</v>
      </c>
      <c r="K192" s="238"/>
    </row>
    <row r="193" ht="18.75" customHeight="1">
      <c r="A193" s="229">
        <f>DATE(Tresorerie!$E$2,1,1)+J192</f>
        <v>46211</v>
      </c>
      <c r="B193" s="230" t="str">
        <f t="shared" si="1"/>
        <v>mer.</v>
      </c>
      <c r="C193" s="231">
        <f>SUMPRODUCT((Entrées[Date]=A193)*IF(ISNUMBER(Entrées[Montant TTC]),Entrées[Montant TTC],0))</f>
        <v>0</v>
      </c>
      <c r="D193" s="232">
        <f>SUMPRODUCT((Prévisions[0]=A193)*IF(Prévisions[E / S]="Entrée",IF(ISNUMBER(Prévisions[Coût TTC]),Prévisions[Coût TTC],0),0))</f>
        <v>0</v>
      </c>
      <c r="E193" s="233">
        <f>SUMPRODUCT((Sorties[Date]=A193)*IF(ISNUMBER(Sorties[Coût TTC]),Sorties[Coût TTC],0))</f>
        <v>0</v>
      </c>
      <c r="F193" s="232">
        <f>SUMPRODUCT((Prévisions[0]=A193)*IF(Prévisions[E / S]="Sortie",IF(ISNUMBER(Prévisions[Coût TTC]),Prévisions[Coût TTC],0),0))</f>
        <v>0</v>
      </c>
      <c r="G193" s="234">
        <f t="shared" si="2"/>
        <v>0</v>
      </c>
      <c r="H193" s="235">
        <f t="shared" si="4"/>
        <v>-339.5</v>
      </c>
      <c r="I193" s="236" t="str">
        <f t="shared" si="3"/>
        <v>⛔  DÉCOUVERT</v>
      </c>
      <c r="J193" s="237">
        <v>189.0</v>
      </c>
      <c r="K193" s="238"/>
    </row>
    <row r="194" ht="18.75" customHeight="1">
      <c r="A194" s="229">
        <f>DATE(Tresorerie!$E$2,1,1)+J193</f>
        <v>46212</v>
      </c>
      <c r="B194" s="230" t="str">
        <f t="shared" si="1"/>
        <v>jeu.</v>
      </c>
      <c r="C194" s="231">
        <f>SUMPRODUCT((Entrées[Date]=A194)*IF(ISNUMBER(Entrées[Montant TTC]),Entrées[Montant TTC],0))</f>
        <v>0</v>
      </c>
      <c r="D194" s="232">
        <f>SUMPRODUCT((Prévisions[0]=A194)*IF(Prévisions[E / S]="Entrée",IF(ISNUMBER(Prévisions[Coût TTC]),Prévisions[Coût TTC],0),0))</f>
        <v>0</v>
      </c>
      <c r="E194" s="233">
        <f>SUMPRODUCT((Sorties[Date]=A194)*IF(ISNUMBER(Sorties[Coût TTC]),Sorties[Coût TTC],0))</f>
        <v>0</v>
      </c>
      <c r="F194" s="232">
        <f>SUMPRODUCT((Prévisions[0]=A194)*IF(Prévisions[E / S]="Sortie",IF(ISNUMBER(Prévisions[Coût TTC]),Prévisions[Coût TTC],0),0))</f>
        <v>0</v>
      </c>
      <c r="G194" s="234">
        <f t="shared" si="2"/>
        <v>0</v>
      </c>
      <c r="H194" s="235">
        <f t="shared" si="4"/>
        <v>-339.5</v>
      </c>
      <c r="I194" s="236" t="str">
        <f t="shared" si="3"/>
        <v>⛔  DÉCOUVERT</v>
      </c>
      <c r="J194" s="237">
        <v>190.0</v>
      </c>
      <c r="K194" s="238"/>
    </row>
    <row r="195" ht="18.75" customHeight="1">
      <c r="A195" s="229">
        <f>DATE(Tresorerie!$E$2,1,1)+J194</f>
        <v>46213</v>
      </c>
      <c r="B195" s="230" t="str">
        <f t="shared" si="1"/>
        <v>ven.</v>
      </c>
      <c r="C195" s="231">
        <f>SUMPRODUCT((Entrées[Date]=A195)*IF(ISNUMBER(Entrées[Montant TTC]),Entrées[Montant TTC],0))</f>
        <v>0</v>
      </c>
      <c r="D195" s="232">
        <f>SUMPRODUCT((Prévisions[0]=A195)*IF(Prévisions[E / S]="Entrée",IF(ISNUMBER(Prévisions[Coût TTC]),Prévisions[Coût TTC],0),0))</f>
        <v>0</v>
      </c>
      <c r="E195" s="233">
        <f>SUMPRODUCT((Sorties[Date]=A195)*IF(ISNUMBER(Sorties[Coût TTC]),Sorties[Coût TTC],0))</f>
        <v>0</v>
      </c>
      <c r="F195" s="232">
        <f>SUMPRODUCT((Prévisions[0]=A195)*IF(Prévisions[E / S]="Sortie",IF(ISNUMBER(Prévisions[Coût TTC]),Prévisions[Coût TTC],0),0))</f>
        <v>0</v>
      </c>
      <c r="G195" s="234">
        <f t="shared" si="2"/>
        <v>0</v>
      </c>
      <c r="H195" s="235">
        <f t="shared" si="4"/>
        <v>-339.5</v>
      </c>
      <c r="I195" s="236" t="str">
        <f t="shared" si="3"/>
        <v>⛔  DÉCOUVERT</v>
      </c>
      <c r="J195" s="237">
        <v>191.0</v>
      </c>
      <c r="K195" s="238"/>
    </row>
    <row r="196" ht="18.75" customHeight="1">
      <c r="A196" s="229">
        <f>DATE(Tresorerie!$E$2,1,1)+J195</f>
        <v>46214</v>
      </c>
      <c r="B196" s="239" t="str">
        <f t="shared" si="1"/>
        <v>sam.</v>
      </c>
      <c r="C196" s="231">
        <f>SUMPRODUCT((Entrées[Date]=A196)*IF(ISNUMBER(Entrées[Montant TTC]),Entrées[Montant TTC],0))</f>
        <v>0</v>
      </c>
      <c r="D196" s="232">
        <f>SUMPRODUCT((Prévisions[0]=A196)*IF(Prévisions[E / S]="Entrée",IF(ISNUMBER(Prévisions[Coût TTC]),Prévisions[Coût TTC],0),0))</f>
        <v>0</v>
      </c>
      <c r="E196" s="233">
        <f>SUMPRODUCT((Sorties[Date]=A196)*IF(ISNUMBER(Sorties[Coût TTC]),Sorties[Coût TTC],0))</f>
        <v>0</v>
      </c>
      <c r="F196" s="232">
        <f>SUMPRODUCT((Prévisions[0]=A196)*IF(Prévisions[E / S]="Sortie",IF(ISNUMBER(Prévisions[Coût TTC]),Prévisions[Coût TTC],0),0))</f>
        <v>0</v>
      </c>
      <c r="G196" s="234">
        <f t="shared" si="2"/>
        <v>0</v>
      </c>
      <c r="H196" s="235">
        <f t="shared" si="4"/>
        <v>-339.5</v>
      </c>
      <c r="I196" s="236" t="str">
        <f t="shared" si="3"/>
        <v>⛔  DÉCOUVERT</v>
      </c>
      <c r="J196" s="237">
        <v>192.0</v>
      </c>
      <c r="K196" s="238"/>
    </row>
    <row r="197" ht="18.75" customHeight="1">
      <c r="A197" s="229">
        <f>DATE(Tresorerie!$E$2,1,1)+J196</f>
        <v>46215</v>
      </c>
      <c r="B197" s="239" t="str">
        <f t="shared" si="1"/>
        <v>dim.</v>
      </c>
      <c r="C197" s="231">
        <f>SUMPRODUCT((Entrées[Date]=A197)*IF(ISNUMBER(Entrées[Montant TTC]),Entrées[Montant TTC],0))</f>
        <v>0</v>
      </c>
      <c r="D197" s="232">
        <f>SUMPRODUCT((Prévisions[0]=A197)*IF(Prévisions[E / S]="Entrée",IF(ISNUMBER(Prévisions[Coût TTC]),Prévisions[Coût TTC],0),0))</f>
        <v>0</v>
      </c>
      <c r="E197" s="233">
        <f>SUMPRODUCT((Sorties[Date]=A197)*IF(ISNUMBER(Sorties[Coût TTC]),Sorties[Coût TTC],0))</f>
        <v>0</v>
      </c>
      <c r="F197" s="232">
        <f>SUMPRODUCT((Prévisions[0]=A197)*IF(Prévisions[E / S]="Sortie",IF(ISNUMBER(Prévisions[Coût TTC]),Prévisions[Coût TTC],0),0))</f>
        <v>0</v>
      </c>
      <c r="G197" s="234">
        <f t="shared" si="2"/>
        <v>0</v>
      </c>
      <c r="H197" s="235">
        <f t="shared" si="4"/>
        <v>-339.5</v>
      </c>
      <c r="I197" s="236" t="str">
        <f t="shared" si="3"/>
        <v>⛔  DÉCOUVERT</v>
      </c>
      <c r="J197" s="237">
        <v>193.0</v>
      </c>
      <c r="K197" s="238"/>
    </row>
    <row r="198" ht="18.75" customHeight="1">
      <c r="A198" s="229">
        <f>DATE(Tresorerie!$E$2,1,1)+J197</f>
        <v>46216</v>
      </c>
      <c r="B198" s="240" t="str">
        <f t="shared" si="1"/>
        <v>lun.</v>
      </c>
      <c r="C198" s="231">
        <f>SUMPRODUCT((Entrées[Date]=A198)*IF(ISNUMBER(Entrées[Montant TTC]),Entrées[Montant TTC],0))</f>
        <v>0</v>
      </c>
      <c r="D198" s="232">
        <f>SUMPRODUCT((Prévisions[0]=A198)*IF(Prévisions[E / S]="Entrée",IF(ISNUMBER(Prévisions[Coût TTC]),Prévisions[Coût TTC],0),0))</f>
        <v>0</v>
      </c>
      <c r="E198" s="233">
        <f>SUMPRODUCT((Sorties[Date]=A198)*IF(ISNUMBER(Sorties[Coût TTC]),Sorties[Coût TTC],0))</f>
        <v>0</v>
      </c>
      <c r="F198" s="232">
        <f>SUMPRODUCT((Prévisions[0]=A198)*IF(Prévisions[E / S]="Sortie",IF(ISNUMBER(Prévisions[Coût TTC]),Prévisions[Coût TTC],0),0))</f>
        <v>0</v>
      </c>
      <c r="G198" s="234">
        <f t="shared" si="2"/>
        <v>0</v>
      </c>
      <c r="H198" s="235">
        <f t="shared" si="4"/>
        <v>-339.5</v>
      </c>
      <c r="I198" s="236" t="str">
        <f t="shared" si="3"/>
        <v>⛔  DÉCOUVERT</v>
      </c>
      <c r="J198" s="237">
        <v>194.0</v>
      </c>
      <c r="K198" s="238"/>
    </row>
    <row r="199" ht="18.75" customHeight="1">
      <c r="A199" s="229">
        <f>DATE(Tresorerie!$E$2,1,1)+J198</f>
        <v>46217</v>
      </c>
      <c r="B199" s="230" t="str">
        <f t="shared" si="1"/>
        <v>mar.</v>
      </c>
      <c r="C199" s="231">
        <f>SUMPRODUCT((Entrées[Date]=A199)*IF(ISNUMBER(Entrées[Montant TTC]),Entrées[Montant TTC],0))</f>
        <v>0</v>
      </c>
      <c r="D199" s="232">
        <f>SUMPRODUCT((Prévisions[0]=A199)*IF(Prévisions[E / S]="Entrée",IF(ISNUMBER(Prévisions[Coût TTC]),Prévisions[Coût TTC],0),0))</f>
        <v>0</v>
      </c>
      <c r="E199" s="233">
        <f>SUMPRODUCT((Sorties[Date]=A199)*IF(ISNUMBER(Sorties[Coût TTC]),Sorties[Coût TTC],0))</f>
        <v>0</v>
      </c>
      <c r="F199" s="232">
        <f>SUMPRODUCT((Prévisions[0]=A199)*IF(Prévisions[E / S]="Sortie",IF(ISNUMBER(Prévisions[Coût TTC]),Prévisions[Coût TTC],0),0))</f>
        <v>0</v>
      </c>
      <c r="G199" s="234">
        <f t="shared" si="2"/>
        <v>0</v>
      </c>
      <c r="H199" s="235">
        <f t="shared" si="4"/>
        <v>-339.5</v>
      </c>
      <c r="I199" s="236" t="str">
        <f t="shared" si="3"/>
        <v>⛔  DÉCOUVERT</v>
      </c>
      <c r="J199" s="237">
        <v>195.0</v>
      </c>
      <c r="K199" s="238"/>
    </row>
    <row r="200" ht="18.75" customHeight="1">
      <c r="A200" s="229">
        <f>DATE(Tresorerie!$E$2,1,1)+J199</f>
        <v>46218</v>
      </c>
      <c r="B200" s="230" t="str">
        <f t="shared" si="1"/>
        <v>mer.</v>
      </c>
      <c r="C200" s="231">
        <f>SUMPRODUCT((Entrées[Date]=A200)*IF(ISNUMBER(Entrées[Montant TTC]),Entrées[Montant TTC],0))</f>
        <v>0</v>
      </c>
      <c r="D200" s="232">
        <f>SUMPRODUCT((Prévisions[0]=A200)*IF(Prévisions[E / S]="Entrée",IF(ISNUMBER(Prévisions[Coût TTC]),Prévisions[Coût TTC],0),0))</f>
        <v>0</v>
      </c>
      <c r="E200" s="233">
        <f>SUMPRODUCT((Sorties[Date]=A200)*IF(ISNUMBER(Sorties[Coût TTC]),Sorties[Coût TTC],0))</f>
        <v>0</v>
      </c>
      <c r="F200" s="232">
        <f>SUMPRODUCT((Prévisions[0]=A200)*IF(Prévisions[E / S]="Sortie",IF(ISNUMBER(Prévisions[Coût TTC]),Prévisions[Coût TTC],0),0))</f>
        <v>202.99</v>
      </c>
      <c r="G200" s="234">
        <f t="shared" si="2"/>
        <v>-202.99</v>
      </c>
      <c r="H200" s="235">
        <f t="shared" si="4"/>
        <v>-542.49</v>
      </c>
      <c r="I200" s="236" t="str">
        <f t="shared" si="3"/>
        <v>⛔  DÉCOUVERT</v>
      </c>
      <c r="J200" s="237">
        <v>196.0</v>
      </c>
      <c r="K200" s="238"/>
    </row>
    <row r="201" ht="18.75" customHeight="1">
      <c r="A201" s="229">
        <f>DATE(Tresorerie!$E$2,1,1)+J200</f>
        <v>46219</v>
      </c>
      <c r="B201" s="230" t="str">
        <f t="shared" si="1"/>
        <v>jeu.</v>
      </c>
      <c r="C201" s="231">
        <f>SUMPRODUCT((Entrées[Date]=A201)*IF(ISNUMBER(Entrées[Montant TTC]),Entrées[Montant TTC],0))</f>
        <v>0</v>
      </c>
      <c r="D201" s="232">
        <f>SUMPRODUCT((Prévisions[0]=A201)*IF(Prévisions[E / S]="Entrée",IF(ISNUMBER(Prévisions[Coût TTC]),Prévisions[Coût TTC],0),0))</f>
        <v>0</v>
      </c>
      <c r="E201" s="233">
        <f>SUMPRODUCT((Sorties[Date]=A201)*IF(ISNUMBER(Sorties[Coût TTC]),Sorties[Coût TTC],0))</f>
        <v>0</v>
      </c>
      <c r="F201" s="232">
        <f>SUMPRODUCT((Prévisions[0]=A201)*IF(Prévisions[E / S]="Sortie",IF(ISNUMBER(Prévisions[Coût TTC]),Prévisions[Coût TTC],0),0))</f>
        <v>0</v>
      </c>
      <c r="G201" s="234">
        <f t="shared" si="2"/>
        <v>0</v>
      </c>
      <c r="H201" s="235">
        <f t="shared" si="4"/>
        <v>-542.49</v>
      </c>
      <c r="I201" s="236" t="str">
        <f t="shared" si="3"/>
        <v>⛔  DÉCOUVERT</v>
      </c>
      <c r="J201" s="237">
        <v>197.0</v>
      </c>
      <c r="K201" s="238"/>
    </row>
    <row r="202" ht="18.75" customHeight="1">
      <c r="A202" s="229">
        <f>DATE(Tresorerie!$E$2,1,1)+J201</f>
        <v>46220</v>
      </c>
      <c r="B202" s="230" t="str">
        <f t="shared" si="1"/>
        <v>ven.</v>
      </c>
      <c r="C202" s="231">
        <f>SUMPRODUCT((Entrées[Date]=A202)*IF(ISNUMBER(Entrées[Montant TTC]),Entrées[Montant TTC],0))</f>
        <v>0</v>
      </c>
      <c r="D202" s="232">
        <f>SUMPRODUCT((Prévisions[0]=A202)*IF(Prévisions[E / S]="Entrée",IF(ISNUMBER(Prévisions[Coût TTC]),Prévisions[Coût TTC],0),0))</f>
        <v>0</v>
      </c>
      <c r="E202" s="233">
        <f>SUMPRODUCT((Sorties[Date]=A202)*IF(ISNUMBER(Sorties[Coût TTC]),Sorties[Coût TTC],0))</f>
        <v>0</v>
      </c>
      <c r="F202" s="232">
        <f>SUMPRODUCT((Prévisions[0]=A202)*IF(Prévisions[E / S]="Sortie",IF(ISNUMBER(Prévisions[Coût TTC]),Prévisions[Coût TTC],0),0))</f>
        <v>0</v>
      </c>
      <c r="G202" s="234">
        <f t="shared" si="2"/>
        <v>0</v>
      </c>
      <c r="H202" s="235">
        <f t="shared" si="4"/>
        <v>-542.49</v>
      </c>
      <c r="I202" s="236" t="str">
        <f t="shared" si="3"/>
        <v>⛔  DÉCOUVERT</v>
      </c>
      <c r="J202" s="237">
        <v>198.0</v>
      </c>
      <c r="K202" s="238"/>
    </row>
    <row r="203" ht="18.75" customHeight="1">
      <c r="A203" s="229">
        <f>DATE(Tresorerie!$E$2,1,1)+J202</f>
        <v>46221</v>
      </c>
      <c r="B203" s="239" t="str">
        <f t="shared" si="1"/>
        <v>sam.</v>
      </c>
      <c r="C203" s="231">
        <f>SUMPRODUCT((Entrées[Date]=A203)*IF(ISNUMBER(Entrées[Montant TTC]),Entrées[Montant TTC],0))</f>
        <v>0</v>
      </c>
      <c r="D203" s="232">
        <f>SUMPRODUCT((Prévisions[0]=A203)*IF(Prévisions[E / S]="Entrée",IF(ISNUMBER(Prévisions[Coût TTC]),Prévisions[Coût TTC],0),0))</f>
        <v>0</v>
      </c>
      <c r="E203" s="233">
        <f>SUMPRODUCT((Sorties[Date]=A203)*IF(ISNUMBER(Sorties[Coût TTC]),Sorties[Coût TTC],0))</f>
        <v>0</v>
      </c>
      <c r="F203" s="232">
        <f>SUMPRODUCT((Prévisions[0]=A203)*IF(Prévisions[E / S]="Sortie",IF(ISNUMBER(Prévisions[Coût TTC]),Prévisions[Coût TTC],0),0))</f>
        <v>0</v>
      </c>
      <c r="G203" s="234">
        <f t="shared" si="2"/>
        <v>0</v>
      </c>
      <c r="H203" s="235">
        <f t="shared" si="4"/>
        <v>-542.49</v>
      </c>
      <c r="I203" s="236" t="str">
        <f t="shared" si="3"/>
        <v>⛔  DÉCOUVERT</v>
      </c>
      <c r="J203" s="237">
        <v>199.0</v>
      </c>
      <c r="K203" s="238"/>
    </row>
    <row r="204" ht="18.75" customHeight="1">
      <c r="A204" s="229">
        <f>DATE(Tresorerie!$E$2,1,1)+J203</f>
        <v>46222</v>
      </c>
      <c r="B204" s="239" t="str">
        <f t="shared" si="1"/>
        <v>dim.</v>
      </c>
      <c r="C204" s="231">
        <f>SUMPRODUCT((Entrées[Date]=A204)*IF(ISNUMBER(Entrées[Montant TTC]),Entrées[Montant TTC],0))</f>
        <v>0</v>
      </c>
      <c r="D204" s="232">
        <f>SUMPRODUCT((Prévisions[0]=A204)*IF(Prévisions[E / S]="Entrée",IF(ISNUMBER(Prévisions[Coût TTC]),Prévisions[Coût TTC],0),0))</f>
        <v>0</v>
      </c>
      <c r="E204" s="233">
        <f>SUMPRODUCT((Sorties[Date]=A204)*IF(ISNUMBER(Sorties[Coût TTC]),Sorties[Coût TTC],0))</f>
        <v>0</v>
      </c>
      <c r="F204" s="232">
        <f>SUMPRODUCT((Prévisions[0]=A204)*IF(Prévisions[E / S]="Sortie",IF(ISNUMBER(Prévisions[Coût TTC]),Prévisions[Coût TTC],0),0))</f>
        <v>0</v>
      </c>
      <c r="G204" s="234">
        <f t="shared" si="2"/>
        <v>0</v>
      </c>
      <c r="H204" s="235">
        <f t="shared" si="4"/>
        <v>-542.49</v>
      </c>
      <c r="I204" s="236" t="str">
        <f t="shared" si="3"/>
        <v>⛔  DÉCOUVERT</v>
      </c>
      <c r="J204" s="237">
        <v>200.0</v>
      </c>
      <c r="K204" s="238"/>
    </row>
    <row r="205" ht="18.75" customHeight="1">
      <c r="A205" s="229">
        <f>DATE(Tresorerie!$E$2,1,1)+J204</f>
        <v>46223</v>
      </c>
      <c r="B205" s="240" t="str">
        <f t="shared" si="1"/>
        <v>lun.</v>
      </c>
      <c r="C205" s="231">
        <f>SUMPRODUCT((Entrées[Date]=A205)*IF(ISNUMBER(Entrées[Montant TTC]),Entrées[Montant TTC],0))</f>
        <v>0</v>
      </c>
      <c r="D205" s="232">
        <f>SUMPRODUCT((Prévisions[0]=A205)*IF(Prévisions[E / S]="Entrée",IF(ISNUMBER(Prévisions[Coût TTC]),Prévisions[Coût TTC],0),0))</f>
        <v>0</v>
      </c>
      <c r="E205" s="233">
        <f>SUMPRODUCT((Sorties[Date]=A205)*IF(ISNUMBER(Sorties[Coût TTC]),Sorties[Coût TTC],0))</f>
        <v>0</v>
      </c>
      <c r="F205" s="232">
        <f>SUMPRODUCT((Prévisions[0]=A205)*IF(Prévisions[E / S]="Sortie",IF(ISNUMBER(Prévisions[Coût TTC]),Prévisions[Coût TTC],0),0))</f>
        <v>0</v>
      </c>
      <c r="G205" s="234">
        <f t="shared" si="2"/>
        <v>0</v>
      </c>
      <c r="H205" s="235">
        <f t="shared" si="4"/>
        <v>-542.49</v>
      </c>
      <c r="I205" s="236" t="str">
        <f t="shared" si="3"/>
        <v>⛔  DÉCOUVERT</v>
      </c>
      <c r="J205" s="237">
        <v>201.0</v>
      </c>
      <c r="K205" s="238"/>
    </row>
    <row r="206" ht="18.75" customHeight="1">
      <c r="A206" s="229">
        <f>DATE(Tresorerie!$E$2,1,1)+J205</f>
        <v>46224</v>
      </c>
      <c r="B206" s="230" t="str">
        <f t="shared" si="1"/>
        <v>mar.</v>
      </c>
      <c r="C206" s="231">
        <f>SUMPRODUCT((Entrées[Date]=A206)*IF(ISNUMBER(Entrées[Montant TTC]),Entrées[Montant TTC],0))</f>
        <v>0</v>
      </c>
      <c r="D206" s="232">
        <f>SUMPRODUCT((Prévisions[0]=A206)*IF(Prévisions[E / S]="Entrée",IF(ISNUMBER(Prévisions[Coût TTC]),Prévisions[Coût TTC],0),0))</f>
        <v>0</v>
      </c>
      <c r="E206" s="233">
        <f>SUMPRODUCT((Sorties[Date]=A206)*IF(ISNUMBER(Sorties[Coût TTC]),Sorties[Coût TTC],0))</f>
        <v>0</v>
      </c>
      <c r="F206" s="232">
        <f>SUMPRODUCT((Prévisions[0]=A206)*IF(Prévisions[E / S]="Sortie",IF(ISNUMBER(Prévisions[Coût TTC]),Prévisions[Coût TTC],0),0))</f>
        <v>0</v>
      </c>
      <c r="G206" s="234">
        <f t="shared" si="2"/>
        <v>0</v>
      </c>
      <c r="H206" s="235">
        <f t="shared" si="4"/>
        <v>-542.49</v>
      </c>
      <c r="I206" s="236" t="str">
        <f t="shared" si="3"/>
        <v>⛔  DÉCOUVERT</v>
      </c>
      <c r="J206" s="237">
        <v>202.0</v>
      </c>
      <c r="K206" s="238"/>
    </row>
    <row r="207" ht="18.75" customHeight="1">
      <c r="A207" s="229">
        <f>DATE(Tresorerie!$E$2,1,1)+J206</f>
        <v>46225</v>
      </c>
      <c r="B207" s="230" t="str">
        <f t="shared" si="1"/>
        <v>mer.</v>
      </c>
      <c r="C207" s="231">
        <f>SUMPRODUCT((Entrées[Date]=A207)*IF(ISNUMBER(Entrées[Montant TTC]),Entrées[Montant TTC],0))</f>
        <v>0</v>
      </c>
      <c r="D207" s="232">
        <f>SUMPRODUCT((Prévisions[0]=A207)*IF(Prévisions[E / S]="Entrée",IF(ISNUMBER(Prévisions[Coût TTC]),Prévisions[Coût TTC],0),0))</f>
        <v>0</v>
      </c>
      <c r="E207" s="233">
        <f>SUMPRODUCT((Sorties[Date]=A207)*IF(ISNUMBER(Sorties[Coût TTC]),Sorties[Coût TTC],0))</f>
        <v>0</v>
      </c>
      <c r="F207" s="232">
        <f>SUMPRODUCT((Prévisions[0]=A207)*IF(Prévisions[E / S]="Sortie",IF(ISNUMBER(Prévisions[Coût TTC]),Prévisions[Coût TTC],0),0))</f>
        <v>0</v>
      </c>
      <c r="G207" s="234">
        <f t="shared" si="2"/>
        <v>0</v>
      </c>
      <c r="H207" s="235">
        <f t="shared" si="4"/>
        <v>-542.49</v>
      </c>
      <c r="I207" s="236" t="str">
        <f t="shared" si="3"/>
        <v>⛔  DÉCOUVERT</v>
      </c>
      <c r="J207" s="237">
        <v>203.0</v>
      </c>
      <c r="K207" s="238"/>
    </row>
    <row r="208" ht="18.75" customHeight="1">
      <c r="A208" s="229">
        <f>DATE(Tresorerie!$E$2,1,1)+J207</f>
        <v>46226</v>
      </c>
      <c r="B208" s="230" t="str">
        <f t="shared" si="1"/>
        <v>jeu.</v>
      </c>
      <c r="C208" s="231">
        <f>SUMPRODUCT((Entrées[Date]=A208)*IF(ISNUMBER(Entrées[Montant TTC]),Entrées[Montant TTC],0))</f>
        <v>0</v>
      </c>
      <c r="D208" s="232">
        <f>SUMPRODUCT((Prévisions[0]=A208)*IF(Prévisions[E / S]="Entrée",IF(ISNUMBER(Prévisions[Coût TTC]),Prévisions[Coût TTC],0),0))</f>
        <v>0</v>
      </c>
      <c r="E208" s="233">
        <f>SUMPRODUCT((Sorties[Date]=A208)*IF(ISNUMBER(Sorties[Coût TTC]),Sorties[Coût TTC],0))</f>
        <v>0</v>
      </c>
      <c r="F208" s="232">
        <f>SUMPRODUCT((Prévisions[0]=A208)*IF(Prévisions[E / S]="Sortie",IF(ISNUMBER(Prévisions[Coût TTC]),Prévisions[Coût TTC],0),0))</f>
        <v>0</v>
      </c>
      <c r="G208" s="234">
        <f t="shared" si="2"/>
        <v>0</v>
      </c>
      <c r="H208" s="235">
        <f t="shared" si="4"/>
        <v>-542.49</v>
      </c>
      <c r="I208" s="236" t="str">
        <f t="shared" si="3"/>
        <v>⛔  DÉCOUVERT</v>
      </c>
      <c r="J208" s="237">
        <v>204.0</v>
      </c>
      <c r="K208" s="238"/>
    </row>
    <row r="209" ht="18.75" customHeight="1">
      <c r="A209" s="229">
        <f>DATE(Tresorerie!$E$2,1,1)+J208</f>
        <v>46227</v>
      </c>
      <c r="B209" s="230" t="str">
        <f t="shared" si="1"/>
        <v>ven.</v>
      </c>
      <c r="C209" s="231">
        <f>SUMPRODUCT((Entrées[Date]=A209)*IF(ISNUMBER(Entrées[Montant TTC]),Entrées[Montant TTC],0))</f>
        <v>0</v>
      </c>
      <c r="D209" s="232">
        <f>SUMPRODUCT((Prévisions[0]=A209)*IF(Prévisions[E / S]="Entrée",IF(ISNUMBER(Prévisions[Coût TTC]),Prévisions[Coût TTC],0),0))</f>
        <v>0</v>
      </c>
      <c r="E209" s="233">
        <f>SUMPRODUCT((Sorties[Date]=A209)*IF(ISNUMBER(Sorties[Coût TTC]),Sorties[Coût TTC],0))</f>
        <v>0</v>
      </c>
      <c r="F209" s="232">
        <f>SUMPRODUCT((Prévisions[0]=A209)*IF(Prévisions[E / S]="Sortie",IF(ISNUMBER(Prévisions[Coût TTC]),Prévisions[Coût TTC],0),0))</f>
        <v>0</v>
      </c>
      <c r="G209" s="234">
        <f t="shared" si="2"/>
        <v>0</v>
      </c>
      <c r="H209" s="235">
        <f t="shared" si="4"/>
        <v>-542.49</v>
      </c>
      <c r="I209" s="236" t="str">
        <f t="shared" si="3"/>
        <v>⛔  DÉCOUVERT</v>
      </c>
      <c r="J209" s="237">
        <v>205.0</v>
      </c>
      <c r="K209" s="238"/>
    </row>
    <row r="210" ht="18.75" customHeight="1">
      <c r="A210" s="229">
        <f>DATE(Tresorerie!$E$2,1,1)+J209</f>
        <v>46228</v>
      </c>
      <c r="B210" s="239" t="str">
        <f t="shared" si="1"/>
        <v>sam.</v>
      </c>
      <c r="C210" s="231">
        <f>SUMPRODUCT((Entrées[Date]=A210)*IF(ISNUMBER(Entrées[Montant TTC]),Entrées[Montant TTC],0))</f>
        <v>0</v>
      </c>
      <c r="D210" s="232">
        <f>SUMPRODUCT((Prévisions[0]=A210)*IF(Prévisions[E / S]="Entrée",IF(ISNUMBER(Prévisions[Coût TTC]),Prévisions[Coût TTC],0),0))</f>
        <v>0</v>
      </c>
      <c r="E210" s="233">
        <f>SUMPRODUCT((Sorties[Date]=A210)*IF(ISNUMBER(Sorties[Coût TTC]),Sorties[Coût TTC],0))</f>
        <v>0</v>
      </c>
      <c r="F210" s="232">
        <f>SUMPRODUCT((Prévisions[0]=A210)*IF(Prévisions[E / S]="Sortie",IF(ISNUMBER(Prévisions[Coût TTC]),Prévisions[Coût TTC],0),0))</f>
        <v>0</v>
      </c>
      <c r="G210" s="234">
        <f t="shared" si="2"/>
        <v>0</v>
      </c>
      <c r="H210" s="235">
        <f t="shared" si="4"/>
        <v>-542.49</v>
      </c>
      <c r="I210" s="236" t="str">
        <f t="shared" si="3"/>
        <v>⛔  DÉCOUVERT</v>
      </c>
      <c r="J210" s="237">
        <v>206.0</v>
      </c>
      <c r="K210" s="238"/>
    </row>
    <row r="211" ht="18.75" customHeight="1">
      <c r="A211" s="229">
        <f>DATE(Tresorerie!$E$2,1,1)+J210</f>
        <v>46229</v>
      </c>
      <c r="B211" s="239" t="str">
        <f t="shared" si="1"/>
        <v>dim.</v>
      </c>
      <c r="C211" s="231">
        <f>SUMPRODUCT((Entrées[Date]=A211)*IF(ISNUMBER(Entrées[Montant TTC]),Entrées[Montant TTC],0))</f>
        <v>0</v>
      </c>
      <c r="D211" s="232">
        <f>SUMPRODUCT((Prévisions[0]=A211)*IF(Prévisions[E / S]="Entrée",IF(ISNUMBER(Prévisions[Coût TTC]),Prévisions[Coût TTC],0),0))</f>
        <v>0</v>
      </c>
      <c r="E211" s="233">
        <f>SUMPRODUCT((Sorties[Date]=A211)*IF(ISNUMBER(Sorties[Coût TTC]),Sorties[Coût TTC],0))</f>
        <v>0</v>
      </c>
      <c r="F211" s="232">
        <f>SUMPRODUCT((Prévisions[0]=A211)*IF(Prévisions[E / S]="Sortie",IF(ISNUMBER(Prévisions[Coût TTC]),Prévisions[Coût TTC],0),0))</f>
        <v>0</v>
      </c>
      <c r="G211" s="234">
        <f t="shared" si="2"/>
        <v>0</v>
      </c>
      <c r="H211" s="235">
        <f t="shared" si="4"/>
        <v>-542.49</v>
      </c>
      <c r="I211" s="236" t="str">
        <f t="shared" si="3"/>
        <v>⛔  DÉCOUVERT</v>
      </c>
      <c r="J211" s="237">
        <v>207.0</v>
      </c>
      <c r="K211" s="238"/>
    </row>
    <row r="212" ht="18.75" customHeight="1">
      <c r="A212" s="229">
        <f>DATE(Tresorerie!$E$2,1,1)+J211</f>
        <v>46230</v>
      </c>
      <c r="B212" s="240" t="str">
        <f t="shared" si="1"/>
        <v>lun.</v>
      </c>
      <c r="C212" s="231">
        <f>SUMPRODUCT((Entrées[Date]=A212)*IF(ISNUMBER(Entrées[Montant TTC]),Entrées[Montant TTC],0))</f>
        <v>0</v>
      </c>
      <c r="D212" s="232">
        <f>SUMPRODUCT((Prévisions[0]=A212)*IF(Prévisions[E / S]="Entrée",IF(ISNUMBER(Prévisions[Coût TTC]),Prévisions[Coût TTC],0),0))</f>
        <v>0</v>
      </c>
      <c r="E212" s="233">
        <f>SUMPRODUCT((Sorties[Date]=A212)*IF(ISNUMBER(Sorties[Coût TTC]),Sorties[Coût TTC],0))</f>
        <v>0</v>
      </c>
      <c r="F212" s="232">
        <f>SUMPRODUCT((Prévisions[0]=A212)*IF(Prévisions[E / S]="Sortie",IF(ISNUMBER(Prévisions[Coût TTC]),Prévisions[Coût TTC],0),0))</f>
        <v>0</v>
      </c>
      <c r="G212" s="234">
        <f t="shared" si="2"/>
        <v>0</v>
      </c>
      <c r="H212" s="235">
        <f t="shared" si="4"/>
        <v>-542.49</v>
      </c>
      <c r="I212" s="236" t="str">
        <f t="shared" si="3"/>
        <v>⛔  DÉCOUVERT</v>
      </c>
      <c r="J212" s="237">
        <v>208.0</v>
      </c>
      <c r="K212" s="238"/>
    </row>
    <row r="213" ht="18.75" customHeight="1">
      <c r="A213" s="229">
        <f>DATE(Tresorerie!$E$2,1,1)+J212</f>
        <v>46231</v>
      </c>
      <c r="B213" s="230" t="str">
        <f t="shared" si="1"/>
        <v>mar.</v>
      </c>
      <c r="C213" s="231">
        <f>SUMPRODUCT((Entrées[Date]=A213)*IF(ISNUMBER(Entrées[Montant TTC]),Entrées[Montant TTC],0))</f>
        <v>0</v>
      </c>
      <c r="D213" s="232">
        <f>SUMPRODUCT((Prévisions[0]=A213)*IF(Prévisions[E / S]="Entrée",IF(ISNUMBER(Prévisions[Coût TTC]),Prévisions[Coût TTC],0),0))</f>
        <v>0</v>
      </c>
      <c r="E213" s="233">
        <f>SUMPRODUCT((Sorties[Date]=A213)*IF(ISNUMBER(Sorties[Coût TTC]),Sorties[Coût TTC],0))</f>
        <v>0</v>
      </c>
      <c r="F213" s="232">
        <f>SUMPRODUCT((Prévisions[0]=A213)*IF(Prévisions[E / S]="Sortie",IF(ISNUMBER(Prévisions[Coût TTC]),Prévisions[Coût TTC],0),0))</f>
        <v>0</v>
      </c>
      <c r="G213" s="234">
        <f t="shared" si="2"/>
        <v>0</v>
      </c>
      <c r="H213" s="235">
        <f t="shared" si="4"/>
        <v>-542.49</v>
      </c>
      <c r="I213" s="236" t="str">
        <f t="shared" si="3"/>
        <v>⛔  DÉCOUVERT</v>
      </c>
      <c r="J213" s="237">
        <v>209.0</v>
      </c>
      <c r="K213" s="238"/>
    </row>
    <row r="214" ht="18.75" customHeight="1">
      <c r="A214" s="229">
        <f>DATE(Tresorerie!$E$2,1,1)+J213</f>
        <v>46232</v>
      </c>
      <c r="B214" s="230" t="str">
        <f t="shared" si="1"/>
        <v>mer.</v>
      </c>
      <c r="C214" s="231">
        <f>SUMPRODUCT((Entrées[Date]=A214)*IF(ISNUMBER(Entrées[Montant TTC]),Entrées[Montant TTC],0))</f>
        <v>0</v>
      </c>
      <c r="D214" s="232">
        <f>SUMPRODUCT((Prévisions[0]=A214)*IF(Prévisions[E / S]="Entrée",IF(ISNUMBER(Prévisions[Coût TTC]),Prévisions[Coût TTC],0),0))</f>
        <v>0</v>
      </c>
      <c r="E214" s="233">
        <f>SUMPRODUCT((Sorties[Date]=A214)*IF(ISNUMBER(Sorties[Coût TTC]),Sorties[Coût TTC],0))</f>
        <v>0</v>
      </c>
      <c r="F214" s="232">
        <f>SUMPRODUCT((Prévisions[0]=A214)*IF(Prévisions[E / S]="Sortie",IF(ISNUMBER(Prévisions[Coût TTC]),Prévisions[Coût TTC],0),0))</f>
        <v>0</v>
      </c>
      <c r="G214" s="234">
        <f t="shared" si="2"/>
        <v>0</v>
      </c>
      <c r="H214" s="235">
        <f t="shared" si="4"/>
        <v>-542.49</v>
      </c>
      <c r="I214" s="236" t="str">
        <f t="shared" si="3"/>
        <v>⛔  DÉCOUVERT</v>
      </c>
      <c r="J214" s="237">
        <v>210.0</v>
      </c>
      <c r="K214" s="238"/>
    </row>
    <row r="215" ht="18.75" customHeight="1">
      <c r="A215" s="229">
        <f>DATE(Tresorerie!$E$2,1,1)+J214</f>
        <v>46233</v>
      </c>
      <c r="B215" s="230" t="str">
        <f t="shared" si="1"/>
        <v>jeu.</v>
      </c>
      <c r="C215" s="231">
        <f>SUMPRODUCT((Entrées[Date]=A215)*IF(ISNUMBER(Entrées[Montant TTC]),Entrées[Montant TTC],0))</f>
        <v>0</v>
      </c>
      <c r="D215" s="232">
        <f>SUMPRODUCT((Prévisions[0]=A215)*IF(Prévisions[E / S]="Entrée",IF(ISNUMBER(Prévisions[Coût TTC]),Prévisions[Coût TTC],0),0))</f>
        <v>0</v>
      </c>
      <c r="E215" s="233">
        <f>SUMPRODUCT((Sorties[Date]=A215)*IF(ISNUMBER(Sorties[Coût TTC]),Sorties[Coût TTC],0))</f>
        <v>0</v>
      </c>
      <c r="F215" s="232">
        <f>SUMPRODUCT((Prévisions[0]=A215)*IF(Prévisions[E / S]="Sortie",IF(ISNUMBER(Prévisions[Coût TTC]),Prévisions[Coût TTC],0),0))</f>
        <v>0</v>
      </c>
      <c r="G215" s="234">
        <f t="shared" si="2"/>
        <v>0</v>
      </c>
      <c r="H215" s="235">
        <f t="shared" si="4"/>
        <v>-542.49</v>
      </c>
      <c r="I215" s="236" t="str">
        <f t="shared" si="3"/>
        <v>⛔  DÉCOUVERT</v>
      </c>
      <c r="J215" s="237">
        <v>211.0</v>
      </c>
      <c r="K215" s="238"/>
    </row>
    <row r="216" ht="18.75" customHeight="1">
      <c r="A216" s="229">
        <f>DATE(Tresorerie!$E$2,1,1)+J215</f>
        <v>46234</v>
      </c>
      <c r="B216" s="230" t="str">
        <f t="shared" si="1"/>
        <v>ven.</v>
      </c>
      <c r="C216" s="231">
        <f>SUMPRODUCT((Entrées[Date]=A216)*IF(ISNUMBER(Entrées[Montant TTC]),Entrées[Montant TTC],0))</f>
        <v>0</v>
      </c>
      <c r="D216" s="232">
        <f>SUMPRODUCT((Prévisions[0]=A216)*IF(Prévisions[E / S]="Entrée",IF(ISNUMBER(Prévisions[Coût TTC]),Prévisions[Coût TTC],0),0))</f>
        <v>0</v>
      </c>
      <c r="E216" s="233">
        <f>SUMPRODUCT((Sorties[Date]=A216)*IF(ISNUMBER(Sorties[Coût TTC]),Sorties[Coût TTC],0))</f>
        <v>0</v>
      </c>
      <c r="F216" s="232">
        <f>SUMPRODUCT((Prévisions[0]=A216)*IF(Prévisions[E / S]="Sortie",IF(ISNUMBER(Prévisions[Coût TTC]),Prévisions[Coût TTC],0),0))</f>
        <v>40</v>
      </c>
      <c r="G216" s="234">
        <f t="shared" si="2"/>
        <v>-40</v>
      </c>
      <c r="H216" s="235">
        <f t="shared" si="4"/>
        <v>-582.49</v>
      </c>
      <c r="I216" s="236" t="str">
        <f t="shared" si="3"/>
        <v>⛔  DÉCOUVERT</v>
      </c>
      <c r="J216" s="237">
        <v>212.0</v>
      </c>
      <c r="K216" s="238"/>
    </row>
    <row r="217" ht="18.75" customHeight="1">
      <c r="A217" s="229">
        <f>DATE(Tresorerie!$E$2,1,1)+J216</f>
        <v>46235</v>
      </c>
      <c r="B217" s="239" t="str">
        <f t="shared" si="1"/>
        <v>sam.</v>
      </c>
      <c r="C217" s="231">
        <f>SUMPRODUCT((Entrées[Date]=A217)*IF(ISNUMBER(Entrées[Montant TTC]),Entrées[Montant TTC],0))</f>
        <v>0</v>
      </c>
      <c r="D217" s="232">
        <f>SUMPRODUCT((Prévisions[0]=A217)*IF(Prévisions[E / S]="Entrée",IF(ISNUMBER(Prévisions[Coût TTC]),Prévisions[Coût TTC],0),0))</f>
        <v>1327</v>
      </c>
      <c r="E217" s="233">
        <f>SUMPRODUCT((Sorties[Date]=A217)*IF(ISNUMBER(Sorties[Coût TTC]),Sorties[Coût TTC],0))</f>
        <v>0</v>
      </c>
      <c r="F217" s="232">
        <f>SUMPRODUCT((Prévisions[0]=A217)*IF(Prévisions[E / S]="Sortie",IF(ISNUMBER(Prévisions[Coût TTC]),Prévisions[Coût TTC],0),0))</f>
        <v>0</v>
      </c>
      <c r="G217" s="234">
        <f t="shared" si="2"/>
        <v>1327</v>
      </c>
      <c r="H217" s="235">
        <f t="shared" si="4"/>
        <v>744.51</v>
      </c>
      <c r="I217" s="236" t="str">
        <f t="shared" si="3"/>
        <v>✅  OK</v>
      </c>
      <c r="J217" s="237">
        <v>213.0</v>
      </c>
      <c r="K217" s="238"/>
    </row>
    <row r="218" ht="18.75" customHeight="1">
      <c r="A218" s="229">
        <f>DATE(Tresorerie!$E$2,1,1)+J217</f>
        <v>46236</v>
      </c>
      <c r="B218" s="239" t="str">
        <f t="shared" si="1"/>
        <v>dim.</v>
      </c>
      <c r="C218" s="231">
        <f>SUMPRODUCT((Entrées[Date]=A218)*IF(ISNUMBER(Entrées[Montant TTC]),Entrées[Montant TTC],0))</f>
        <v>0</v>
      </c>
      <c r="D218" s="232">
        <f>SUMPRODUCT((Prévisions[0]=A218)*IF(Prévisions[E / S]="Entrée",IF(ISNUMBER(Prévisions[Coût TTC]),Prévisions[Coût TTC],0),0))</f>
        <v>0</v>
      </c>
      <c r="E218" s="233">
        <f>SUMPRODUCT((Sorties[Date]=A218)*IF(ISNUMBER(Sorties[Coût TTC]),Sorties[Coût TTC],0))</f>
        <v>0</v>
      </c>
      <c r="F218" s="232">
        <f>SUMPRODUCT((Prévisions[0]=A218)*IF(Prévisions[E / S]="Sortie",IF(ISNUMBER(Prévisions[Coût TTC]),Prévisions[Coût TTC],0),0))</f>
        <v>0</v>
      </c>
      <c r="G218" s="234">
        <f t="shared" si="2"/>
        <v>0</v>
      </c>
      <c r="H218" s="235">
        <f t="shared" si="4"/>
        <v>744.51</v>
      </c>
      <c r="I218" s="236" t="str">
        <f t="shared" si="3"/>
        <v>✅  OK</v>
      </c>
      <c r="J218" s="237">
        <v>214.0</v>
      </c>
      <c r="K218" s="238"/>
    </row>
    <row r="219" ht="18.75" customHeight="1">
      <c r="A219" s="229">
        <f>DATE(Tresorerie!$E$2,1,1)+J218</f>
        <v>46237</v>
      </c>
      <c r="B219" s="240" t="str">
        <f t="shared" si="1"/>
        <v>lun.</v>
      </c>
      <c r="C219" s="231">
        <f>SUMPRODUCT((Entrées[Date]=A219)*IF(ISNUMBER(Entrées[Montant TTC]),Entrées[Montant TTC],0))</f>
        <v>0</v>
      </c>
      <c r="D219" s="232">
        <f>SUMPRODUCT((Prévisions[0]=A219)*IF(Prévisions[E / S]="Entrée",IF(ISNUMBER(Prévisions[Coût TTC]),Prévisions[Coût TTC],0),0))</f>
        <v>0</v>
      </c>
      <c r="E219" s="233">
        <f>SUMPRODUCT((Sorties[Date]=A219)*IF(ISNUMBER(Sorties[Coût TTC]),Sorties[Coût TTC],0))</f>
        <v>0</v>
      </c>
      <c r="F219" s="232">
        <f>SUMPRODUCT((Prévisions[0]=A219)*IF(Prévisions[E / S]="Sortie",IF(ISNUMBER(Prévisions[Coût TTC]),Prévisions[Coût TTC],0),0))</f>
        <v>0</v>
      </c>
      <c r="G219" s="234">
        <f t="shared" si="2"/>
        <v>0</v>
      </c>
      <c r="H219" s="235">
        <f t="shared" si="4"/>
        <v>744.51</v>
      </c>
      <c r="I219" s="236" t="str">
        <f t="shared" si="3"/>
        <v>✅  OK</v>
      </c>
      <c r="J219" s="237">
        <v>215.0</v>
      </c>
      <c r="K219" s="238"/>
    </row>
    <row r="220" ht="18.75" customHeight="1">
      <c r="A220" s="229">
        <f>DATE(Tresorerie!$E$2,1,1)+J219</f>
        <v>46238</v>
      </c>
      <c r="B220" s="230" t="str">
        <f t="shared" si="1"/>
        <v>mar.</v>
      </c>
      <c r="C220" s="231">
        <f>SUMPRODUCT((Entrées[Date]=A220)*IF(ISNUMBER(Entrées[Montant TTC]),Entrées[Montant TTC],0))</f>
        <v>0</v>
      </c>
      <c r="D220" s="232">
        <f>SUMPRODUCT((Prévisions[0]=A220)*IF(Prévisions[E / S]="Entrée",IF(ISNUMBER(Prévisions[Coût TTC]),Prévisions[Coût TTC],0),0))</f>
        <v>0</v>
      </c>
      <c r="E220" s="233">
        <f>SUMPRODUCT((Sorties[Date]=A220)*IF(ISNUMBER(Sorties[Coût TTC]),Sorties[Coût TTC],0))</f>
        <v>0</v>
      </c>
      <c r="F220" s="232">
        <f>SUMPRODUCT((Prévisions[0]=A220)*IF(Prévisions[E / S]="Sortie",IF(ISNUMBER(Prévisions[Coût TTC]),Prévisions[Coût TTC],0),0))</f>
        <v>0</v>
      </c>
      <c r="G220" s="234">
        <f t="shared" si="2"/>
        <v>0</v>
      </c>
      <c r="H220" s="235">
        <f t="shared" si="4"/>
        <v>744.51</v>
      </c>
      <c r="I220" s="236" t="str">
        <f t="shared" si="3"/>
        <v>✅  OK</v>
      </c>
      <c r="J220" s="237">
        <v>216.0</v>
      </c>
      <c r="K220" s="238"/>
    </row>
    <row r="221" ht="18.75" customHeight="1">
      <c r="A221" s="229">
        <f>DATE(Tresorerie!$E$2,1,1)+J220</f>
        <v>46239</v>
      </c>
      <c r="B221" s="230" t="str">
        <f t="shared" si="1"/>
        <v>mer.</v>
      </c>
      <c r="C221" s="231">
        <f>SUMPRODUCT((Entrées[Date]=A221)*IF(ISNUMBER(Entrées[Montant TTC]),Entrées[Montant TTC],0))</f>
        <v>0</v>
      </c>
      <c r="D221" s="232">
        <f>SUMPRODUCT((Prévisions[0]=A221)*IF(Prévisions[E / S]="Entrée",IF(ISNUMBER(Prévisions[Coût TTC]),Prévisions[Coût TTC],0),0))</f>
        <v>0</v>
      </c>
      <c r="E221" s="233">
        <f>SUMPRODUCT((Sorties[Date]=A221)*IF(ISNUMBER(Sorties[Coût TTC]),Sorties[Coût TTC],0))</f>
        <v>0</v>
      </c>
      <c r="F221" s="232">
        <f>SUMPRODUCT((Prévisions[0]=A221)*IF(Prévisions[E / S]="Sortie",IF(ISNUMBER(Prévisions[Coût TTC]),Prévisions[Coût TTC],0),0))</f>
        <v>0</v>
      </c>
      <c r="G221" s="234">
        <f t="shared" si="2"/>
        <v>0</v>
      </c>
      <c r="H221" s="235">
        <f t="shared" si="4"/>
        <v>744.51</v>
      </c>
      <c r="I221" s="236" t="str">
        <f t="shared" si="3"/>
        <v>✅  OK</v>
      </c>
      <c r="J221" s="237">
        <v>217.0</v>
      </c>
      <c r="K221" s="238"/>
    </row>
    <row r="222" ht="18.75" customHeight="1">
      <c r="A222" s="229">
        <f>DATE(Tresorerie!$E$2,1,1)+J221</f>
        <v>46240</v>
      </c>
      <c r="B222" s="230" t="str">
        <f t="shared" si="1"/>
        <v>jeu.</v>
      </c>
      <c r="C222" s="231">
        <f>SUMPRODUCT((Entrées[Date]=A222)*IF(ISNUMBER(Entrées[Montant TTC]),Entrées[Montant TTC],0))</f>
        <v>0</v>
      </c>
      <c r="D222" s="232">
        <f>SUMPRODUCT((Prévisions[0]=A222)*IF(Prévisions[E / S]="Entrée",IF(ISNUMBER(Prévisions[Coût TTC]),Prévisions[Coût TTC],0),0))</f>
        <v>0</v>
      </c>
      <c r="E222" s="233">
        <f>SUMPRODUCT((Sorties[Date]=A222)*IF(ISNUMBER(Sorties[Coût TTC]),Sorties[Coût TTC],0))</f>
        <v>0</v>
      </c>
      <c r="F222" s="232">
        <f>SUMPRODUCT((Prévisions[0]=A222)*IF(Prévisions[E / S]="Sortie",IF(ISNUMBER(Prévisions[Coût TTC]),Prévisions[Coût TTC],0),0))</f>
        <v>0</v>
      </c>
      <c r="G222" s="234">
        <f t="shared" si="2"/>
        <v>0</v>
      </c>
      <c r="H222" s="235">
        <f t="shared" si="4"/>
        <v>744.51</v>
      </c>
      <c r="I222" s="236" t="str">
        <f t="shared" si="3"/>
        <v>✅  OK</v>
      </c>
      <c r="J222" s="237">
        <v>218.0</v>
      </c>
      <c r="K222" s="238"/>
    </row>
    <row r="223" ht="18.75" customHeight="1">
      <c r="A223" s="229">
        <f>DATE(Tresorerie!$E$2,1,1)+J222</f>
        <v>46241</v>
      </c>
      <c r="B223" s="230" t="str">
        <f t="shared" si="1"/>
        <v>ven.</v>
      </c>
      <c r="C223" s="231">
        <f>SUMPRODUCT((Entrées[Date]=A223)*IF(ISNUMBER(Entrées[Montant TTC]),Entrées[Montant TTC],0))</f>
        <v>0</v>
      </c>
      <c r="D223" s="232">
        <f>SUMPRODUCT((Prévisions[0]=A223)*IF(Prévisions[E / S]="Entrée",IF(ISNUMBER(Prévisions[Coût TTC]),Prévisions[Coût TTC],0),0))</f>
        <v>0</v>
      </c>
      <c r="E223" s="233">
        <f>SUMPRODUCT((Sorties[Date]=A223)*IF(ISNUMBER(Sorties[Coût TTC]),Sorties[Coût TTC],0))</f>
        <v>0</v>
      </c>
      <c r="F223" s="232">
        <f>SUMPRODUCT((Prévisions[0]=A223)*IF(Prévisions[E / S]="Sortie",IF(ISNUMBER(Prévisions[Coût TTC]),Prévisions[Coût TTC],0),0))</f>
        <v>0</v>
      </c>
      <c r="G223" s="234">
        <f t="shared" si="2"/>
        <v>0</v>
      </c>
      <c r="H223" s="235">
        <f t="shared" si="4"/>
        <v>744.51</v>
      </c>
      <c r="I223" s="236" t="str">
        <f t="shared" si="3"/>
        <v>✅  OK</v>
      </c>
      <c r="J223" s="237">
        <v>219.0</v>
      </c>
      <c r="K223" s="238"/>
    </row>
    <row r="224" ht="18.75" customHeight="1">
      <c r="A224" s="229">
        <f>DATE(Tresorerie!$E$2,1,1)+J223</f>
        <v>46242</v>
      </c>
      <c r="B224" s="239" t="str">
        <f t="shared" si="1"/>
        <v>sam.</v>
      </c>
      <c r="C224" s="231">
        <f>SUMPRODUCT((Entrées[Date]=A224)*IF(ISNUMBER(Entrées[Montant TTC]),Entrées[Montant TTC],0))</f>
        <v>0</v>
      </c>
      <c r="D224" s="232">
        <f>SUMPRODUCT((Prévisions[0]=A224)*IF(Prévisions[E / S]="Entrée",IF(ISNUMBER(Prévisions[Coût TTC]),Prévisions[Coût TTC],0),0))</f>
        <v>0</v>
      </c>
      <c r="E224" s="233">
        <f>SUMPRODUCT((Sorties[Date]=A224)*IF(ISNUMBER(Sorties[Coût TTC]),Sorties[Coût TTC],0))</f>
        <v>0</v>
      </c>
      <c r="F224" s="232">
        <f>SUMPRODUCT((Prévisions[0]=A224)*IF(Prévisions[E / S]="Sortie",IF(ISNUMBER(Prévisions[Coût TTC]),Prévisions[Coût TTC],0),0))</f>
        <v>0</v>
      </c>
      <c r="G224" s="234">
        <f t="shared" si="2"/>
        <v>0</v>
      </c>
      <c r="H224" s="235">
        <f t="shared" si="4"/>
        <v>744.51</v>
      </c>
      <c r="I224" s="236" t="str">
        <f t="shared" si="3"/>
        <v>✅  OK</v>
      </c>
      <c r="J224" s="237">
        <v>220.0</v>
      </c>
      <c r="K224" s="238"/>
    </row>
    <row r="225" ht="18.75" customHeight="1">
      <c r="A225" s="229">
        <f>DATE(Tresorerie!$E$2,1,1)+J224</f>
        <v>46243</v>
      </c>
      <c r="B225" s="239" t="str">
        <f t="shared" si="1"/>
        <v>dim.</v>
      </c>
      <c r="C225" s="231">
        <f>SUMPRODUCT((Entrées[Date]=A225)*IF(ISNUMBER(Entrées[Montant TTC]),Entrées[Montant TTC],0))</f>
        <v>0</v>
      </c>
      <c r="D225" s="232">
        <f>SUMPRODUCT((Prévisions[0]=A225)*IF(Prévisions[E / S]="Entrée",IF(ISNUMBER(Prévisions[Coût TTC]),Prévisions[Coût TTC],0),0))</f>
        <v>0</v>
      </c>
      <c r="E225" s="233">
        <f>SUMPRODUCT((Sorties[Date]=A225)*IF(ISNUMBER(Sorties[Coût TTC]),Sorties[Coût TTC],0))</f>
        <v>0</v>
      </c>
      <c r="F225" s="232">
        <f>SUMPRODUCT((Prévisions[0]=A225)*IF(Prévisions[E / S]="Sortie",IF(ISNUMBER(Prévisions[Coût TTC]),Prévisions[Coût TTC],0),0))</f>
        <v>0</v>
      </c>
      <c r="G225" s="234">
        <f t="shared" si="2"/>
        <v>0</v>
      </c>
      <c r="H225" s="235">
        <f t="shared" si="4"/>
        <v>744.51</v>
      </c>
      <c r="I225" s="236" t="str">
        <f t="shared" si="3"/>
        <v>✅  OK</v>
      </c>
      <c r="J225" s="237">
        <v>221.0</v>
      </c>
      <c r="K225" s="238"/>
    </row>
    <row r="226" ht="18.75" customHeight="1">
      <c r="A226" s="229">
        <f>DATE(Tresorerie!$E$2,1,1)+J225</f>
        <v>46244</v>
      </c>
      <c r="B226" s="240" t="str">
        <f t="shared" si="1"/>
        <v>lun.</v>
      </c>
      <c r="C226" s="231">
        <f>SUMPRODUCT((Entrées[Date]=A226)*IF(ISNUMBER(Entrées[Montant TTC]),Entrées[Montant TTC],0))</f>
        <v>0</v>
      </c>
      <c r="D226" s="232">
        <f>SUMPRODUCT((Prévisions[0]=A226)*IF(Prévisions[E / S]="Entrée",IF(ISNUMBER(Prévisions[Coût TTC]),Prévisions[Coût TTC],0),0))</f>
        <v>0</v>
      </c>
      <c r="E226" s="233">
        <f>SUMPRODUCT((Sorties[Date]=A226)*IF(ISNUMBER(Sorties[Coût TTC]),Sorties[Coût TTC],0))</f>
        <v>0</v>
      </c>
      <c r="F226" s="232">
        <f>SUMPRODUCT((Prévisions[0]=A226)*IF(Prévisions[E / S]="Sortie",IF(ISNUMBER(Prévisions[Coût TTC]),Prévisions[Coût TTC],0),0))</f>
        <v>0</v>
      </c>
      <c r="G226" s="234">
        <f t="shared" si="2"/>
        <v>0</v>
      </c>
      <c r="H226" s="235">
        <f t="shared" si="4"/>
        <v>744.51</v>
      </c>
      <c r="I226" s="236" t="str">
        <f t="shared" si="3"/>
        <v>✅  OK</v>
      </c>
      <c r="J226" s="237">
        <v>222.0</v>
      </c>
      <c r="K226" s="238"/>
    </row>
    <row r="227" ht="18.75" customHeight="1">
      <c r="A227" s="229">
        <f>DATE(Tresorerie!$E$2,1,1)+J226</f>
        <v>46245</v>
      </c>
      <c r="B227" s="230" t="str">
        <f t="shared" si="1"/>
        <v>mar.</v>
      </c>
      <c r="C227" s="231">
        <f>SUMPRODUCT((Entrées[Date]=A227)*IF(ISNUMBER(Entrées[Montant TTC]),Entrées[Montant TTC],0))</f>
        <v>0</v>
      </c>
      <c r="D227" s="232">
        <f>SUMPRODUCT((Prévisions[0]=A227)*IF(Prévisions[E / S]="Entrée",IF(ISNUMBER(Prévisions[Coût TTC]),Prévisions[Coût TTC],0),0))</f>
        <v>0</v>
      </c>
      <c r="E227" s="233">
        <f>SUMPRODUCT((Sorties[Date]=A227)*IF(ISNUMBER(Sorties[Coût TTC]),Sorties[Coût TTC],0))</f>
        <v>0</v>
      </c>
      <c r="F227" s="232">
        <f>SUMPRODUCT((Prévisions[0]=A227)*IF(Prévisions[E / S]="Sortie",IF(ISNUMBER(Prévisions[Coût TTC]),Prévisions[Coût TTC],0),0))</f>
        <v>0</v>
      </c>
      <c r="G227" s="234">
        <f t="shared" si="2"/>
        <v>0</v>
      </c>
      <c r="H227" s="235">
        <f t="shared" si="4"/>
        <v>744.51</v>
      </c>
      <c r="I227" s="236" t="str">
        <f t="shared" si="3"/>
        <v>✅  OK</v>
      </c>
      <c r="J227" s="237">
        <v>223.0</v>
      </c>
      <c r="K227" s="238"/>
    </row>
    <row r="228" ht="18.75" customHeight="1">
      <c r="A228" s="229">
        <f>DATE(Tresorerie!$E$2,1,1)+J227</f>
        <v>46246</v>
      </c>
      <c r="B228" s="230" t="str">
        <f t="shared" si="1"/>
        <v>mer.</v>
      </c>
      <c r="C228" s="231">
        <f>SUMPRODUCT((Entrées[Date]=A228)*IF(ISNUMBER(Entrées[Montant TTC]),Entrées[Montant TTC],0))</f>
        <v>0</v>
      </c>
      <c r="D228" s="232">
        <f>SUMPRODUCT((Prévisions[0]=A228)*IF(Prévisions[E / S]="Entrée",IF(ISNUMBER(Prévisions[Coût TTC]),Prévisions[Coût TTC],0),0))</f>
        <v>0</v>
      </c>
      <c r="E228" s="233">
        <f>SUMPRODUCT((Sorties[Date]=A228)*IF(ISNUMBER(Sorties[Coût TTC]),Sorties[Coût TTC],0))</f>
        <v>0</v>
      </c>
      <c r="F228" s="232">
        <f>SUMPRODUCT((Prévisions[0]=A228)*IF(Prévisions[E / S]="Sortie",IF(ISNUMBER(Prévisions[Coût TTC]),Prévisions[Coût TTC],0),0))</f>
        <v>0</v>
      </c>
      <c r="G228" s="234">
        <f t="shared" si="2"/>
        <v>0</v>
      </c>
      <c r="H228" s="235">
        <f t="shared" si="4"/>
        <v>744.51</v>
      </c>
      <c r="I228" s="236" t="str">
        <f t="shared" si="3"/>
        <v>✅  OK</v>
      </c>
      <c r="J228" s="237">
        <v>224.0</v>
      </c>
      <c r="K228" s="238"/>
    </row>
    <row r="229" ht="18.75" customHeight="1">
      <c r="A229" s="229">
        <f>DATE(Tresorerie!$E$2,1,1)+J228</f>
        <v>46247</v>
      </c>
      <c r="B229" s="230" t="str">
        <f t="shared" si="1"/>
        <v>jeu.</v>
      </c>
      <c r="C229" s="231">
        <f>SUMPRODUCT((Entrées[Date]=A229)*IF(ISNUMBER(Entrées[Montant TTC]),Entrées[Montant TTC],0))</f>
        <v>0</v>
      </c>
      <c r="D229" s="232">
        <f>SUMPRODUCT((Prévisions[0]=A229)*IF(Prévisions[E / S]="Entrée",IF(ISNUMBER(Prévisions[Coût TTC]),Prévisions[Coût TTC],0),0))</f>
        <v>0</v>
      </c>
      <c r="E229" s="233">
        <f>SUMPRODUCT((Sorties[Date]=A229)*IF(ISNUMBER(Sorties[Coût TTC]),Sorties[Coût TTC],0))</f>
        <v>0</v>
      </c>
      <c r="F229" s="232">
        <f>SUMPRODUCT((Prévisions[0]=A229)*IF(Prévisions[E / S]="Sortie",IF(ISNUMBER(Prévisions[Coût TTC]),Prévisions[Coût TTC],0),0))</f>
        <v>0</v>
      </c>
      <c r="G229" s="234">
        <f t="shared" si="2"/>
        <v>0</v>
      </c>
      <c r="H229" s="235">
        <f t="shared" si="4"/>
        <v>744.51</v>
      </c>
      <c r="I229" s="236" t="str">
        <f t="shared" si="3"/>
        <v>✅  OK</v>
      </c>
      <c r="J229" s="237">
        <v>225.0</v>
      </c>
      <c r="K229" s="238"/>
    </row>
    <row r="230" ht="18.75" customHeight="1">
      <c r="A230" s="229">
        <f>DATE(Tresorerie!$E$2,1,1)+J229</f>
        <v>46248</v>
      </c>
      <c r="B230" s="230" t="str">
        <f t="shared" si="1"/>
        <v>ven.</v>
      </c>
      <c r="C230" s="231">
        <f>SUMPRODUCT((Entrées[Date]=A230)*IF(ISNUMBER(Entrées[Montant TTC]),Entrées[Montant TTC],0))</f>
        <v>0</v>
      </c>
      <c r="D230" s="232">
        <f>SUMPRODUCT((Prévisions[0]=A230)*IF(Prévisions[E / S]="Entrée",IF(ISNUMBER(Prévisions[Coût TTC]),Prévisions[Coût TTC],0),0))</f>
        <v>0</v>
      </c>
      <c r="E230" s="233">
        <f>SUMPRODUCT((Sorties[Date]=A230)*IF(ISNUMBER(Sorties[Coût TTC]),Sorties[Coût TTC],0))</f>
        <v>0</v>
      </c>
      <c r="F230" s="232">
        <f>SUMPRODUCT((Prévisions[0]=A230)*IF(Prévisions[E / S]="Sortie",IF(ISNUMBER(Prévisions[Coût TTC]),Prévisions[Coût TTC],0),0))</f>
        <v>2450</v>
      </c>
      <c r="G230" s="234">
        <f t="shared" si="2"/>
        <v>-2450</v>
      </c>
      <c r="H230" s="235">
        <f t="shared" si="4"/>
        <v>-1705.49</v>
      </c>
      <c r="I230" s="236" t="str">
        <f t="shared" si="3"/>
        <v>⛔  DÉCOUVERT</v>
      </c>
      <c r="J230" s="237">
        <v>226.0</v>
      </c>
      <c r="K230" s="238"/>
    </row>
    <row r="231" ht="18.75" customHeight="1">
      <c r="A231" s="229">
        <f>DATE(Tresorerie!$E$2,1,1)+J230</f>
        <v>46249</v>
      </c>
      <c r="B231" s="239" t="str">
        <f t="shared" si="1"/>
        <v>sam.</v>
      </c>
      <c r="C231" s="231">
        <f>SUMPRODUCT((Entrées[Date]=A231)*IF(ISNUMBER(Entrées[Montant TTC]),Entrées[Montant TTC],0))</f>
        <v>0</v>
      </c>
      <c r="D231" s="232">
        <f>SUMPRODUCT((Prévisions[0]=A231)*IF(Prévisions[E / S]="Entrée",IF(ISNUMBER(Prévisions[Coût TTC]),Prévisions[Coût TTC],0),0))</f>
        <v>0</v>
      </c>
      <c r="E231" s="233">
        <f>SUMPRODUCT((Sorties[Date]=A231)*IF(ISNUMBER(Sorties[Coût TTC]),Sorties[Coût TTC],0))</f>
        <v>0</v>
      </c>
      <c r="F231" s="232">
        <f>SUMPRODUCT((Prévisions[0]=A231)*IF(Prévisions[E / S]="Sortie",IF(ISNUMBER(Prévisions[Coût TTC]),Prévisions[Coût TTC],0),0))</f>
        <v>52.99</v>
      </c>
      <c r="G231" s="234">
        <f t="shared" si="2"/>
        <v>-52.99</v>
      </c>
      <c r="H231" s="235">
        <f t="shared" si="4"/>
        <v>-1758.48</v>
      </c>
      <c r="I231" s="236" t="str">
        <f t="shared" si="3"/>
        <v>⛔  DÉCOUVERT</v>
      </c>
      <c r="J231" s="237">
        <v>227.0</v>
      </c>
      <c r="K231" s="238"/>
    </row>
    <row r="232" ht="18.75" customHeight="1">
      <c r="A232" s="229">
        <f>DATE(Tresorerie!$E$2,1,1)+J231</f>
        <v>46250</v>
      </c>
      <c r="B232" s="239" t="str">
        <f t="shared" si="1"/>
        <v>dim.</v>
      </c>
      <c r="C232" s="231">
        <f>SUMPRODUCT((Entrées[Date]=A232)*IF(ISNUMBER(Entrées[Montant TTC]),Entrées[Montant TTC],0))</f>
        <v>0</v>
      </c>
      <c r="D232" s="232">
        <f>SUMPRODUCT((Prévisions[0]=A232)*IF(Prévisions[E / S]="Entrée",IF(ISNUMBER(Prévisions[Coût TTC]),Prévisions[Coût TTC],0),0))</f>
        <v>0</v>
      </c>
      <c r="E232" s="233">
        <f>SUMPRODUCT((Sorties[Date]=A232)*IF(ISNUMBER(Sorties[Coût TTC]),Sorties[Coût TTC],0))</f>
        <v>0</v>
      </c>
      <c r="F232" s="232">
        <f>SUMPRODUCT((Prévisions[0]=A232)*IF(Prévisions[E / S]="Sortie",IF(ISNUMBER(Prévisions[Coût TTC]),Prévisions[Coût TTC],0),0))</f>
        <v>0</v>
      </c>
      <c r="G232" s="234">
        <f t="shared" si="2"/>
        <v>0</v>
      </c>
      <c r="H232" s="235">
        <f t="shared" si="4"/>
        <v>-1758.48</v>
      </c>
      <c r="I232" s="236" t="str">
        <f t="shared" si="3"/>
        <v>⛔  DÉCOUVERT</v>
      </c>
      <c r="J232" s="237">
        <v>228.0</v>
      </c>
      <c r="K232" s="238"/>
    </row>
    <row r="233" ht="18.75" customHeight="1">
      <c r="A233" s="229">
        <f>DATE(Tresorerie!$E$2,1,1)+J232</f>
        <v>46251</v>
      </c>
      <c r="B233" s="240" t="str">
        <f t="shared" si="1"/>
        <v>lun.</v>
      </c>
      <c r="C233" s="231">
        <f>SUMPRODUCT((Entrées[Date]=A233)*IF(ISNUMBER(Entrées[Montant TTC]),Entrées[Montant TTC],0))</f>
        <v>0</v>
      </c>
      <c r="D233" s="232">
        <f>SUMPRODUCT((Prévisions[0]=A233)*IF(Prévisions[E / S]="Entrée",IF(ISNUMBER(Prévisions[Coût TTC]),Prévisions[Coût TTC],0),0))</f>
        <v>0</v>
      </c>
      <c r="E233" s="233">
        <f>SUMPRODUCT((Sorties[Date]=A233)*IF(ISNUMBER(Sorties[Coût TTC]),Sorties[Coût TTC],0))</f>
        <v>0</v>
      </c>
      <c r="F233" s="232">
        <f>SUMPRODUCT((Prévisions[0]=A233)*IF(Prévisions[E / S]="Sortie",IF(ISNUMBER(Prévisions[Coût TTC]),Prévisions[Coût TTC],0),0))</f>
        <v>0</v>
      </c>
      <c r="G233" s="234">
        <f t="shared" si="2"/>
        <v>0</v>
      </c>
      <c r="H233" s="235">
        <f t="shared" si="4"/>
        <v>-1758.48</v>
      </c>
      <c r="I233" s="236" t="str">
        <f t="shared" si="3"/>
        <v>⛔  DÉCOUVERT</v>
      </c>
      <c r="J233" s="237">
        <v>229.0</v>
      </c>
      <c r="K233" s="238"/>
    </row>
    <row r="234" ht="18.75" customHeight="1">
      <c r="A234" s="229">
        <f>DATE(Tresorerie!$E$2,1,1)+J233</f>
        <v>46252</v>
      </c>
      <c r="B234" s="230" t="str">
        <f t="shared" si="1"/>
        <v>mar.</v>
      </c>
      <c r="C234" s="231">
        <f>SUMPRODUCT((Entrées[Date]=A234)*IF(ISNUMBER(Entrées[Montant TTC]),Entrées[Montant TTC],0))</f>
        <v>0</v>
      </c>
      <c r="D234" s="232">
        <f>SUMPRODUCT((Prévisions[0]=A234)*IF(Prévisions[E / S]="Entrée",IF(ISNUMBER(Prévisions[Coût TTC]),Prévisions[Coût TTC],0),0))</f>
        <v>0</v>
      </c>
      <c r="E234" s="233">
        <f>SUMPRODUCT((Sorties[Date]=A234)*IF(ISNUMBER(Sorties[Coût TTC]),Sorties[Coût TTC],0))</f>
        <v>0</v>
      </c>
      <c r="F234" s="232">
        <f>SUMPRODUCT((Prévisions[0]=A234)*IF(Prévisions[E / S]="Sortie",IF(ISNUMBER(Prévisions[Coût TTC]),Prévisions[Coût TTC],0),0))</f>
        <v>0</v>
      </c>
      <c r="G234" s="234">
        <f t="shared" si="2"/>
        <v>0</v>
      </c>
      <c r="H234" s="235">
        <f t="shared" si="4"/>
        <v>-1758.48</v>
      </c>
      <c r="I234" s="236" t="str">
        <f t="shared" si="3"/>
        <v>⛔  DÉCOUVERT</v>
      </c>
      <c r="J234" s="237">
        <v>230.0</v>
      </c>
      <c r="K234" s="238"/>
    </row>
    <row r="235" ht="18.75" customHeight="1">
      <c r="A235" s="229">
        <f>DATE(Tresorerie!$E$2,1,1)+J234</f>
        <v>46253</v>
      </c>
      <c r="B235" s="230" t="str">
        <f t="shared" si="1"/>
        <v>mer.</v>
      </c>
      <c r="C235" s="231">
        <f>SUMPRODUCT((Entrées[Date]=A235)*IF(ISNUMBER(Entrées[Montant TTC]),Entrées[Montant TTC],0))</f>
        <v>0</v>
      </c>
      <c r="D235" s="232">
        <f>SUMPRODUCT((Prévisions[0]=A235)*IF(Prévisions[E / S]="Entrée",IF(ISNUMBER(Prévisions[Coût TTC]),Prévisions[Coût TTC],0),0))</f>
        <v>0</v>
      </c>
      <c r="E235" s="233">
        <f>SUMPRODUCT((Sorties[Date]=A235)*IF(ISNUMBER(Sorties[Coût TTC]),Sorties[Coût TTC],0))</f>
        <v>0</v>
      </c>
      <c r="F235" s="232">
        <f>SUMPRODUCT((Prévisions[0]=A235)*IF(Prévisions[E / S]="Sortie",IF(ISNUMBER(Prévisions[Coût TTC]),Prévisions[Coût TTC],0),0))</f>
        <v>0</v>
      </c>
      <c r="G235" s="234">
        <f t="shared" si="2"/>
        <v>0</v>
      </c>
      <c r="H235" s="235">
        <f t="shared" si="4"/>
        <v>-1758.48</v>
      </c>
      <c r="I235" s="236" t="str">
        <f t="shared" si="3"/>
        <v>⛔  DÉCOUVERT</v>
      </c>
      <c r="J235" s="237">
        <v>231.0</v>
      </c>
      <c r="K235" s="238"/>
    </row>
    <row r="236" ht="18.75" customHeight="1">
      <c r="A236" s="229">
        <f>DATE(Tresorerie!$E$2,1,1)+J235</f>
        <v>46254</v>
      </c>
      <c r="B236" s="230" t="str">
        <f t="shared" si="1"/>
        <v>jeu.</v>
      </c>
      <c r="C236" s="231">
        <f>SUMPRODUCT((Entrées[Date]=A236)*IF(ISNUMBER(Entrées[Montant TTC]),Entrées[Montant TTC],0))</f>
        <v>0</v>
      </c>
      <c r="D236" s="232">
        <f>SUMPRODUCT((Prévisions[0]=A236)*IF(Prévisions[E / S]="Entrée",IF(ISNUMBER(Prévisions[Coût TTC]),Prévisions[Coût TTC],0),0))</f>
        <v>0</v>
      </c>
      <c r="E236" s="233">
        <f>SUMPRODUCT((Sorties[Date]=A236)*IF(ISNUMBER(Sorties[Coût TTC]),Sorties[Coût TTC],0))</f>
        <v>0</v>
      </c>
      <c r="F236" s="232">
        <f>SUMPRODUCT((Prévisions[0]=A236)*IF(Prévisions[E / S]="Sortie",IF(ISNUMBER(Prévisions[Coût TTC]),Prévisions[Coût TTC],0),0))</f>
        <v>0</v>
      </c>
      <c r="G236" s="234">
        <f t="shared" si="2"/>
        <v>0</v>
      </c>
      <c r="H236" s="235">
        <f t="shared" si="4"/>
        <v>-1758.48</v>
      </c>
      <c r="I236" s="236" t="str">
        <f t="shared" si="3"/>
        <v>⛔  DÉCOUVERT</v>
      </c>
      <c r="J236" s="237">
        <v>232.0</v>
      </c>
      <c r="K236" s="238"/>
    </row>
    <row r="237" ht="18.75" customHeight="1">
      <c r="A237" s="229">
        <f>DATE(Tresorerie!$E$2,1,1)+J236</f>
        <v>46255</v>
      </c>
      <c r="B237" s="230" t="str">
        <f t="shared" si="1"/>
        <v>ven.</v>
      </c>
      <c r="C237" s="231">
        <f>SUMPRODUCT((Entrées[Date]=A237)*IF(ISNUMBER(Entrées[Montant TTC]),Entrées[Montant TTC],0))</f>
        <v>0</v>
      </c>
      <c r="D237" s="232">
        <f>SUMPRODUCT((Prévisions[0]=A237)*IF(Prévisions[E / S]="Entrée",IF(ISNUMBER(Prévisions[Coût TTC]),Prévisions[Coût TTC],0),0))</f>
        <v>0</v>
      </c>
      <c r="E237" s="233">
        <f>SUMPRODUCT((Sorties[Date]=A237)*IF(ISNUMBER(Sorties[Coût TTC]),Sorties[Coût TTC],0))</f>
        <v>0</v>
      </c>
      <c r="F237" s="232">
        <f>SUMPRODUCT((Prévisions[0]=A237)*IF(Prévisions[E / S]="Sortie",IF(ISNUMBER(Prévisions[Coût TTC]),Prévisions[Coût TTC],0),0))</f>
        <v>0</v>
      </c>
      <c r="G237" s="234">
        <f t="shared" si="2"/>
        <v>0</v>
      </c>
      <c r="H237" s="235">
        <f t="shared" si="4"/>
        <v>-1758.48</v>
      </c>
      <c r="I237" s="236" t="str">
        <f t="shared" si="3"/>
        <v>⛔  DÉCOUVERT</v>
      </c>
      <c r="J237" s="237">
        <v>233.0</v>
      </c>
      <c r="K237" s="238"/>
    </row>
    <row r="238" ht="18.75" customHeight="1">
      <c r="A238" s="229">
        <f>DATE(Tresorerie!$E$2,1,1)+J237</f>
        <v>46256</v>
      </c>
      <c r="B238" s="239" t="str">
        <f t="shared" si="1"/>
        <v>sam.</v>
      </c>
      <c r="C238" s="231">
        <f>SUMPRODUCT((Entrées[Date]=A238)*IF(ISNUMBER(Entrées[Montant TTC]),Entrées[Montant TTC],0))</f>
        <v>0</v>
      </c>
      <c r="D238" s="232">
        <f>SUMPRODUCT((Prévisions[0]=A238)*IF(Prévisions[E / S]="Entrée",IF(ISNUMBER(Prévisions[Coût TTC]),Prévisions[Coût TTC],0),0))</f>
        <v>0</v>
      </c>
      <c r="E238" s="233">
        <f>SUMPRODUCT((Sorties[Date]=A238)*IF(ISNUMBER(Sorties[Coût TTC]),Sorties[Coût TTC],0))</f>
        <v>0</v>
      </c>
      <c r="F238" s="232">
        <f>SUMPRODUCT((Prévisions[0]=A238)*IF(Prévisions[E / S]="Sortie",IF(ISNUMBER(Prévisions[Coût TTC]),Prévisions[Coût TTC],0),0))</f>
        <v>0</v>
      </c>
      <c r="G238" s="234">
        <f t="shared" si="2"/>
        <v>0</v>
      </c>
      <c r="H238" s="235">
        <f t="shared" si="4"/>
        <v>-1758.48</v>
      </c>
      <c r="I238" s="236" t="str">
        <f t="shared" si="3"/>
        <v>⛔  DÉCOUVERT</v>
      </c>
      <c r="J238" s="237">
        <v>234.0</v>
      </c>
      <c r="K238" s="238"/>
    </row>
    <row r="239" ht="18.75" customHeight="1">
      <c r="A239" s="229">
        <f>DATE(Tresorerie!$E$2,1,1)+J238</f>
        <v>46257</v>
      </c>
      <c r="B239" s="239" t="str">
        <f t="shared" si="1"/>
        <v>dim.</v>
      </c>
      <c r="C239" s="231">
        <f>SUMPRODUCT((Entrées[Date]=A239)*IF(ISNUMBER(Entrées[Montant TTC]),Entrées[Montant TTC],0))</f>
        <v>0</v>
      </c>
      <c r="D239" s="232">
        <f>SUMPRODUCT((Prévisions[0]=A239)*IF(Prévisions[E / S]="Entrée",IF(ISNUMBER(Prévisions[Coût TTC]),Prévisions[Coût TTC],0),0))</f>
        <v>0</v>
      </c>
      <c r="E239" s="233">
        <f>SUMPRODUCT((Sorties[Date]=A239)*IF(ISNUMBER(Sorties[Coût TTC]),Sorties[Coût TTC],0))</f>
        <v>0</v>
      </c>
      <c r="F239" s="232">
        <f>SUMPRODUCT((Prévisions[0]=A239)*IF(Prévisions[E / S]="Sortie",IF(ISNUMBER(Prévisions[Coût TTC]),Prévisions[Coût TTC],0),0))</f>
        <v>0</v>
      </c>
      <c r="G239" s="234">
        <f t="shared" si="2"/>
        <v>0</v>
      </c>
      <c r="H239" s="235">
        <f t="shared" si="4"/>
        <v>-1758.48</v>
      </c>
      <c r="I239" s="236" t="str">
        <f t="shared" si="3"/>
        <v>⛔  DÉCOUVERT</v>
      </c>
      <c r="J239" s="237">
        <v>235.0</v>
      </c>
      <c r="K239" s="238"/>
    </row>
    <row r="240" ht="18.75" customHeight="1">
      <c r="A240" s="229">
        <f>DATE(Tresorerie!$E$2,1,1)+J239</f>
        <v>46258</v>
      </c>
      <c r="B240" s="240" t="str">
        <f t="shared" si="1"/>
        <v>lun.</v>
      </c>
      <c r="C240" s="231">
        <f>SUMPRODUCT((Entrées[Date]=A240)*IF(ISNUMBER(Entrées[Montant TTC]),Entrées[Montant TTC],0))</f>
        <v>0</v>
      </c>
      <c r="D240" s="232">
        <f>SUMPRODUCT((Prévisions[0]=A240)*IF(Prévisions[E / S]="Entrée",IF(ISNUMBER(Prévisions[Coût TTC]),Prévisions[Coût TTC],0),0))</f>
        <v>0</v>
      </c>
      <c r="E240" s="233">
        <f>SUMPRODUCT((Sorties[Date]=A240)*IF(ISNUMBER(Sorties[Coût TTC]),Sorties[Coût TTC],0))</f>
        <v>0</v>
      </c>
      <c r="F240" s="232">
        <f>SUMPRODUCT((Prévisions[0]=A240)*IF(Prévisions[E / S]="Sortie",IF(ISNUMBER(Prévisions[Coût TTC]),Prévisions[Coût TTC],0),0))</f>
        <v>0</v>
      </c>
      <c r="G240" s="234">
        <f t="shared" si="2"/>
        <v>0</v>
      </c>
      <c r="H240" s="235">
        <f t="shared" si="4"/>
        <v>-1758.48</v>
      </c>
      <c r="I240" s="236" t="str">
        <f t="shared" si="3"/>
        <v>⛔  DÉCOUVERT</v>
      </c>
      <c r="J240" s="237">
        <v>236.0</v>
      </c>
      <c r="K240" s="238"/>
    </row>
    <row r="241" ht="18.75" customHeight="1">
      <c r="A241" s="229">
        <f>DATE(Tresorerie!$E$2,1,1)+J240</f>
        <v>46259</v>
      </c>
      <c r="B241" s="230" t="str">
        <f t="shared" si="1"/>
        <v>mar.</v>
      </c>
      <c r="C241" s="231">
        <f>SUMPRODUCT((Entrées[Date]=A241)*IF(ISNUMBER(Entrées[Montant TTC]),Entrées[Montant TTC],0))</f>
        <v>0</v>
      </c>
      <c r="D241" s="232">
        <f>SUMPRODUCT((Prévisions[0]=A241)*IF(Prévisions[E / S]="Entrée",IF(ISNUMBER(Prévisions[Coût TTC]),Prévisions[Coût TTC],0),0))</f>
        <v>0</v>
      </c>
      <c r="E241" s="233">
        <f>SUMPRODUCT((Sorties[Date]=A241)*IF(ISNUMBER(Sorties[Coût TTC]),Sorties[Coût TTC],0))</f>
        <v>0</v>
      </c>
      <c r="F241" s="232">
        <f>SUMPRODUCT((Prévisions[0]=A241)*IF(Prévisions[E / S]="Sortie",IF(ISNUMBER(Prévisions[Coût TTC]),Prévisions[Coût TTC],0),0))</f>
        <v>0</v>
      </c>
      <c r="G241" s="234">
        <f t="shared" si="2"/>
        <v>0</v>
      </c>
      <c r="H241" s="235">
        <f t="shared" si="4"/>
        <v>-1758.48</v>
      </c>
      <c r="I241" s="236" t="str">
        <f t="shared" si="3"/>
        <v>⛔  DÉCOUVERT</v>
      </c>
      <c r="J241" s="237">
        <v>237.0</v>
      </c>
      <c r="K241" s="238"/>
    </row>
    <row r="242" ht="18.75" customHeight="1">
      <c r="A242" s="229">
        <f>DATE(Tresorerie!$E$2,1,1)+J241</f>
        <v>46260</v>
      </c>
      <c r="B242" s="230" t="str">
        <f t="shared" si="1"/>
        <v>mer.</v>
      </c>
      <c r="C242" s="231">
        <f>SUMPRODUCT((Entrées[Date]=A242)*IF(ISNUMBER(Entrées[Montant TTC]),Entrées[Montant TTC],0))</f>
        <v>0</v>
      </c>
      <c r="D242" s="232">
        <f>SUMPRODUCT((Prévisions[0]=A242)*IF(Prévisions[E / S]="Entrée",IF(ISNUMBER(Prévisions[Coût TTC]),Prévisions[Coût TTC],0),0))</f>
        <v>0</v>
      </c>
      <c r="E242" s="233">
        <f>SUMPRODUCT((Sorties[Date]=A242)*IF(ISNUMBER(Sorties[Coût TTC]),Sorties[Coût TTC],0))</f>
        <v>0</v>
      </c>
      <c r="F242" s="232">
        <f>SUMPRODUCT((Prévisions[0]=A242)*IF(Prévisions[E / S]="Sortie",IF(ISNUMBER(Prévisions[Coût TTC]),Prévisions[Coût TTC],0),0))</f>
        <v>0</v>
      </c>
      <c r="G242" s="234">
        <f t="shared" si="2"/>
        <v>0</v>
      </c>
      <c r="H242" s="235">
        <f t="shared" si="4"/>
        <v>-1758.48</v>
      </c>
      <c r="I242" s="236" t="str">
        <f t="shared" si="3"/>
        <v>⛔  DÉCOUVERT</v>
      </c>
      <c r="J242" s="237">
        <v>238.0</v>
      </c>
      <c r="K242" s="238"/>
    </row>
    <row r="243" ht="18.75" customHeight="1">
      <c r="A243" s="229">
        <f>DATE(Tresorerie!$E$2,1,1)+J242</f>
        <v>46261</v>
      </c>
      <c r="B243" s="230" t="str">
        <f t="shared" si="1"/>
        <v>jeu.</v>
      </c>
      <c r="C243" s="231">
        <f>SUMPRODUCT((Entrées[Date]=A243)*IF(ISNUMBER(Entrées[Montant TTC]),Entrées[Montant TTC],0))</f>
        <v>0</v>
      </c>
      <c r="D243" s="232">
        <f>SUMPRODUCT((Prévisions[0]=A243)*IF(Prévisions[E / S]="Entrée",IF(ISNUMBER(Prévisions[Coût TTC]),Prévisions[Coût TTC],0),0))</f>
        <v>0</v>
      </c>
      <c r="E243" s="233">
        <f>SUMPRODUCT((Sorties[Date]=A243)*IF(ISNUMBER(Sorties[Coût TTC]),Sorties[Coût TTC],0))</f>
        <v>0</v>
      </c>
      <c r="F243" s="232">
        <f>SUMPRODUCT((Prévisions[0]=A243)*IF(Prévisions[E / S]="Sortie",IF(ISNUMBER(Prévisions[Coût TTC]),Prévisions[Coût TTC],0),0))</f>
        <v>0</v>
      </c>
      <c r="G243" s="234">
        <f t="shared" si="2"/>
        <v>0</v>
      </c>
      <c r="H243" s="235">
        <f t="shared" si="4"/>
        <v>-1758.48</v>
      </c>
      <c r="I243" s="236" t="str">
        <f t="shared" si="3"/>
        <v>⛔  DÉCOUVERT</v>
      </c>
      <c r="J243" s="237">
        <v>239.0</v>
      </c>
      <c r="K243" s="238"/>
    </row>
    <row r="244" ht="18.75" customHeight="1">
      <c r="A244" s="229">
        <f>DATE(Tresorerie!$E$2,1,1)+J243</f>
        <v>46262</v>
      </c>
      <c r="B244" s="230" t="str">
        <f t="shared" si="1"/>
        <v>ven.</v>
      </c>
      <c r="C244" s="231">
        <f>SUMPRODUCT((Entrées[Date]=A244)*IF(ISNUMBER(Entrées[Montant TTC]),Entrées[Montant TTC],0))</f>
        <v>0</v>
      </c>
      <c r="D244" s="232">
        <f>SUMPRODUCT((Prévisions[0]=A244)*IF(Prévisions[E / S]="Entrée",IF(ISNUMBER(Prévisions[Coût TTC]),Prévisions[Coût TTC],0),0))</f>
        <v>0</v>
      </c>
      <c r="E244" s="233">
        <f>SUMPRODUCT((Sorties[Date]=A244)*IF(ISNUMBER(Sorties[Coût TTC]),Sorties[Coût TTC],0))</f>
        <v>0</v>
      </c>
      <c r="F244" s="232">
        <f>SUMPRODUCT((Prévisions[0]=A244)*IF(Prévisions[E / S]="Sortie",IF(ISNUMBER(Prévisions[Coût TTC]),Prévisions[Coût TTC],0),0))</f>
        <v>0</v>
      </c>
      <c r="G244" s="234">
        <f t="shared" si="2"/>
        <v>0</v>
      </c>
      <c r="H244" s="235">
        <f t="shared" si="4"/>
        <v>-1758.48</v>
      </c>
      <c r="I244" s="236" t="str">
        <f t="shared" si="3"/>
        <v>⛔  DÉCOUVERT</v>
      </c>
      <c r="J244" s="237">
        <v>240.0</v>
      </c>
      <c r="K244" s="238"/>
    </row>
    <row r="245" ht="18.75" customHeight="1">
      <c r="A245" s="229">
        <f>DATE(Tresorerie!$E$2,1,1)+J244</f>
        <v>46263</v>
      </c>
      <c r="B245" s="239" t="str">
        <f t="shared" si="1"/>
        <v>sam.</v>
      </c>
      <c r="C245" s="231">
        <f>SUMPRODUCT((Entrées[Date]=A245)*IF(ISNUMBER(Entrées[Montant TTC]),Entrées[Montant TTC],0))</f>
        <v>0</v>
      </c>
      <c r="D245" s="232">
        <f>SUMPRODUCT((Prévisions[0]=A245)*IF(Prévisions[E / S]="Entrée",IF(ISNUMBER(Prévisions[Coût TTC]),Prévisions[Coût TTC],0),0))</f>
        <v>0</v>
      </c>
      <c r="E245" s="233">
        <f>SUMPRODUCT((Sorties[Date]=A245)*IF(ISNUMBER(Sorties[Coût TTC]),Sorties[Coût TTC],0))</f>
        <v>0</v>
      </c>
      <c r="F245" s="232">
        <f>SUMPRODUCT((Prévisions[0]=A245)*IF(Prévisions[E / S]="Sortie",IF(ISNUMBER(Prévisions[Coût TTC]),Prévisions[Coût TTC],0),0))</f>
        <v>0</v>
      </c>
      <c r="G245" s="234">
        <f t="shared" si="2"/>
        <v>0</v>
      </c>
      <c r="H245" s="235">
        <f t="shared" si="4"/>
        <v>-1758.48</v>
      </c>
      <c r="I245" s="236" t="str">
        <f t="shared" si="3"/>
        <v>⛔  DÉCOUVERT</v>
      </c>
      <c r="J245" s="237">
        <v>241.0</v>
      </c>
      <c r="K245" s="238"/>
    </row>
    <row r="246" ht="18.75" customHeight="1">
      <c r="A246" s="229">
        <f>DATE(Tresorerie!$E$2,1,1)+J245</f>
        <v>46264</v>
      </c>
      <c r="B246" s="239" t="str">
        <f t="shared" si="1"/>
        <v>dim.</v>
      </c>
      <c r="C246" s="231">
        <f>SUMPRODUCT((Entrées[Date]=A246)*IF(ISNUMBER(Entrées[Montant TTC]),Entrées[Montant TTC],0))</f>
        <v>0</v>
      </c>
      <c r="D246" s="232">
        <f>SUMPRODUCT((Prévisions[0]=A246)*IF(Prévisions[E / S]="Entrée",IF(ISNUMBER(Prévisions[Coût TTC]),Prévisions[Coût TTC],0),0))</f>
        <v>0</v>
      </c>
      <c r="E246" s="233">
        <f>SUMPRODUCT((Sorties[Date]=A246)*IF(ISNUMBER(Sorties[Coût TTC]),Sorties[Coût TTC],0))</f>
        <v>0</v>
      </c>
      <c r="F246" s="232">
        <f>SUMPRODUCT((Prévisions[0]=A246)*IF(Prévisions[E / S]="Sortie",IF(ISNUMBER(Prévisions[Coût TTC]),Prévisions[Coût TTC],0),0))</f>
        <v>0</v>
      </c>
      <c r="G246" s="234">
        <f t="shared" si="2"/>
        <v>0</v>
      </c>
      <c r="H246" s="235">
        <f t="shared" si="4"/>
        <v>-1758.48</v>
      </c>
      <c r="I246" s="236" t="str">
        <f t="shared" si="3"/>
        <v>⛔  DÉCOUVERT</v>
      </c>
      <c r="J246" s="237">
        <v>242.0</v>
      </c>
      <c r="K246" s="238"/>
    </row>
    <row r="247" ht="18.75" customHeight="1">
      <c r="A247" s="229">
        <f>DATE(Tresorerie!$E$2,1,1)+J246</f>
        <v>46265</v>
      </c>
      <c r="B247" s="240" t="str">
        <f t="shared" si="1"/>
        <v>lun.</v>
      </c>
      <c r="C247" s="231">
        <f>SUMPRODUCT((Entrées[Date]=A247)*IF(ISNUMBER(Entrées[Montant TTC]),Entrées[Montant TTC],0))</f>
        <v>0</v>
      </c>
      <c r="D247" s="232">
        <f>SUMPRODUCT((Prévisions[0]=A247)*IF(Prévisions[E / S]="Entrée",IF(ISNUMBER(Prévisions[Coût TTC]),Prévisions[Coût TTC],0),0))</f>
        <v>0</v>
      </c>
      <c r="E247" s="233">
        <f>SUMPRODUCT((Sorties[Date]=A247)*IF(ISNUMBER(Sorties[Coût TTC]),Sorties[Coût TTC],0))</f>
        <v>0</v>
      </c>
      <c r="F247" s="232">
        <f>SUMPRODUCT((Prévisions[0]=A247)*IF(Prévisions[E / S]="Sortie",IF(ISNUMBER(Prévisions[Coût TTC]),Prévisions[Coût TTC],0),0))</f>
        <v>40</v>
      </c>
      <c r="G247" s="234">
        <f t="shared" si="2"/>
        <v>-40</v>
      </c>
      <c r="H247" s="235">
        <f t="shared" si="4"/>
        <v>-1798.48</v>
      </c>
      <c r="I247" s="236" t="str">
        <f t="shared" si="3"/>
        <v>⛔  DÉCOUVERT</v>
      </c>
      <c r="J247" s="237">
        <v>243.0</v>
      </c>
      <c r="K247" s="238"/>
    </row>
    <row r="248" ht="18.75" customHeight="1">
      <c r="A248" s="229">
        <f>DATE(Tresorerie!$E$2,1,1)+J247</f>
        <v>46266</v>
      </c>
      <c r="B248" s="230" t="str">
        <f t="shared" si="1"/>
        <v>mar.</v>
      </c>
      <c r="C248" s="231">
        <f>SUMPRODUCT((Entrées[Date]=A248)*IF(ISNUMBER(Entrées[Montant TTC]),Entrées[Montant TTC],0))</f>
        <v>0</v>
      </c>
      <c r="D248" s="232">
        <f>SUMPRODUCT((Prévisions[0]=A248)*IF(Prévisions[E / S]="Entrée",IF(ISNUMBER(Prévisions[Coût TTC]),Prévisions[Coût TTC],0),0))</f>
        <v>0</v>
      </c>
      <c r="E248" s="233">
        <f>SUMPRODUCT((Sorties[Date]=A248)*IF(ISNUMBER(Sorties[Coût TTC]),Sorties[Coût TTC],0))</f>
        <v>0</v>
      </c>
      <c r="F248" s="232">
        <f>SUMPRODUCT((Prévisions[0]=A248)*IF(Prévisions[E / S]="Sortie",IF(ISNUMBER(Prévisions[Coût TTC]),Prévisions[Coût TTC],0),0))</f>
        <v>0</v>
      </c>
      <c r="G248" s="234">
        <f t="shared" si="2"/>
        <v>0</v>
      </c>
      <c r="H248" s="235">
        <f t="shared" si="4"/>
        <v>-1798.48</v>
      </c>
      <c r="I248" s="236" t="str">
        <f t="shared" si="3"/>
        <v>⛔  DÉCOUVERT</v>
      </c>
      <c r="J248" s="237">
        <v>244.0</v>
      </c>
      <c r="K248" s="238"/>
    </row>
    <row r="249" ht="18.75" customHeight="1">
      <c r="A249" s="229">
        <f>DATE(Tresorerie!$E$2,1,1)+J248</f>
        <v>46267</v>
      </c>
      <c r="B249" s="230" t="str">
        <f t="shared" si="1"/>
        <v>mer.</v>
      </c>
      <c r="C249" s="231">
        <f>SUMPRODUCT((Entrées[Date]=A249)*IF(ISNUMBER(Entrées[Montant TTC]),Entrées[Montant TTC],0))</f>
        <v>0</v>
      </c>
      <c r="D249" s="232">
        <f>SUMPRODUCT((Prévisions[0]=A249)*IF(Prévisions[E / S]="Entrée",IF(ISNUMBER(Prévisions[Coût TTC]),Prévisions[Coût TTC],0),0))</f>
        <v>0</v>
      </c>
      <c r="E249" s="233">
        <f>SUMPRODUCT((Sorties[Date]=A249)*IF(ISNUMBER(Sorties[Coût TTC]),Sorties[Coût TTC],0))</f>
        <v>0</v>
      </c>
      <c r="F249" s="232">
        <f>SUMPRODUCT((Prévisions[0]=A249)*IF(Prévisions[E / S]="Sortie",IF(ISNUMBER(Prévisions[Coût TTC]),Prévisions[Coût TTC],0),0))</f>
        <v>0</v>
      </c>
      <c r="G249" s="234">
        <f t="shared" si="2"/>
        <v>0</v>
      </c>
      <c r="H249" s="235">
        <f t="shared" si="4"/>
        <v>-1798.48</v>
      </c>
      <c r="I249" s="236" t="str">
        <f t="shared" si="3"/>
        <v>⛔  DÉCOUVERT</v>
      </c>
      <c r="J249" s="237">
        <v>245.0</v>
      </c>
      <c r="K249" s="238"/>
    </row>
    <row r="250" ht="18.75" customHeight="1">
      <c r="A250" s="229">
        <f>DATE(Tresorerie!$E$2,1,1)+J249</f>
        <v>46268</v>
      </c>
      <c r="B250" s="230" t="str">
        <f t="shared" si="1"/>
        <v>jeu.</v>
      </c>
      <c r="C250" s="231">
        <f>SUMPRODUCT((Entrées[Date]=A250)*IF(ISNUMBER(Entrées[Montant TTC]),Entrées[Montant TTC],0))</f>
        <v>0</v>
      </c>
      <c r="D250" s="232">
        <f>SUMPRODUCT((Prévisions[0]=A250)*IF(Prévisions[E / S]="Entrée",IF(ISNUMBER(Prévisions[Coût TTC]),Prévisions[Coût TTC],0),0))</f>
        <v>0</v>
      </c>
      <c r="E250" s="233">
        <f>SUMPRODUCT((Sorties[Date]=A250)*IF(ISNUMBER(Sorties[Coût TTC]),Sorties[Coût TTC],0))</f>
        <v>0</v>
      </c>
      <c r="F250" s="232">
        <f>SUMPRODUCT((Prévisions[0]=A250)*IF(Prévisions[E / S]="Sortie",IF(ISNUMBER(Prévisions[Coût TTC]),Prévisions[Coût TTC],0),0))</f>
        <v>0</v>
      </c>
      <c r="G250" s="234">
        <f t="shared" si="2"/>
        <v>0</v>
      </c>
      <c r="H250" s="235">
        <f t="shared" si="4"/>
        <v>-1798.48</v>
      </c>
      <c r="I250" s="236" t="str">
        <f t="shared" si="3"/>
        <v>⛔  DÉCOUVERT</v>
      </c>
      <c r="J250" s="237">
        <v>246.0</v>
      </c>
      <c r="K250" s="238"/>
    </row>
    <row r="251" ht="18.75" customHeight="1">
      <c r="A251" s="229">
        <f>DATE(Tresorerie!$E$2,1,1)+J250</f>
        <v>46269</v>
      </c>
      <c r="B251" s="230" t="str">
        <f t="shared" si="1"/>
        <v>ven.</v>
      </c>
      <c r="C251" s="231">
        <f>SUMPRODUCT((Entrées[Date]=A251)*IF(ISNUMBER(Entrées[Montant TTC]),Entrées[Montant TTC],0))</f>
        <v>0</v>
      </c>
      <c r="D251" s="232">
        <f>SUMPRODUCT((Prévisions[0]=A251)*IF(Prévisions[E / S]="Entrée",IF(ISNUMBER(Prévisions[Coût TTC]),Prévisions[Coût TTC],0),0))</f>
        <v>0</v>
      </c>
      <c r="E251" s="233">
        <f>SUMPRODUCT((Sorties[Date]=A251)*IF(ISNUMBER(Sorties[Coût TTC]),Sorties[Coût TTC],0))</f>
        <v>0</v>
      </c>
      <c r="F251" s="232">
        <f>SUMPRODUCT((Prévisions[0]=A251)*IF(Prévisions[E / S]="Sortie",IF(ISNUMBER(Prévisions[Coût TTC]),Prévisions[Coût TTC],0),0))</f>
        <v>0</v>
      </c>
      <c r="G251" s="234">
        <f t="shared" si="2"/>
        <v>0</v>
      </c>
      <c r="H251" s="235">
        <f t="shared" si="4"/>
        <v>-1798.48</v>
      </c>
      <c r="I251" s="236" t="str">
        <f t="shared" si="3"/>
        <v>⛔  DÉCOUVERT</v>
      </c>
      <c r="J251" s="237">
        <v>247.0</v>
      </c>
      <c r="K251" s="238"/>
    </row>
    <row r="252" ht="18.75" customHeight="1">
      <c r="A252" s="229">
        <f>DATE(Tresorerie!$E$2,1,1)+J251</f>
        <v>46270</v>
      </c>
      <c r="B252" s="239" t="str">
        <f t="shared" si="1"/>
        <v>sam.</v>
      </c>
      <c r="C252" s="231">
        <f>SUMPRODUCT((Entrées[Date]=A252)*IF(ISNUMBER(Entrées[Montant TTC]),Entrées[Montant TTC],0))</f>
        <v>0</v>
      </c>
      <c r="D252" s="232">
        <f>SUMPRODUCT((Prévisions[0]=A252)*IF(Prévisions[E / S]="Entrée",IF(ISNUMBER(Prévisions[Coût TTC]),Prévisions[Coût TTC],0),0))</f>
        <v>1000</v>
      </c>
      <c r="E252" s="233">
        <f>SUMPRODUCT((Sorties[Date]=A252)*IF(ISNUMBER(Sorties[Coût TTC]),Sorties[Coût TTC],0))</f>
        <v>0</v>
      </c>
      <c r="F252" s="232">
        <f>SUMPRODUCT((Prévisions[0]=A252)*IF(Prévisions[E / S]="Sortie",IF(ISNUMBER(Prévisions[Coût TTC]),Prévisions[Coût TTC],0),0))</f>
        <v>0</v>
      </c>
      <c r="G252" s="234">
        <f t="shared" si="2"/>
        <v>1000</v>
      </c>
      <c r="H252" s="235">
        <f t="shared" si="4"/>
        <v>-798.48</v>
      </c>
      <c r="I252" s="236" t="str">
        <f t="shared" si="3"/>
        <v>⛔  DÉCOUVERT</v>
      </c>
      <c r="J252" s="237">
        <v>248.0</v>
      </c>
      <c r="K252" s="238"/>
    </row>
    <row r="253" ht="18.75" customHeight="1">
      <c r="A253" s="229">
        <f>DATE(Tresorerie!$E$2,1,1)+J252</f>
        <v>46271</v>
      </c>
      <c r="B253" s="239" t="str">
        <f t="shared" si="1"/>
        <v>dim.</v>
      </c>
      <c r="C253" s="231">
        <f>SUMPRODUCT((Entrées[Date]=A253)*IF(ISNUMBER(Entrées[Montant TTC]),Entrées[Montant TTC],0))</f>
        <v>0</v>
      </c>
      <c r="D253" s="232">
        <f>SUMPRODUCT((Prévisions[0]=A253)*IF(Prévisions[E / S]="Entrée",IF(ISNUMBER(Prévisions[Coût TTC]),Prévisions[Coût TTC],0),0))</f>
        <v>0</v>
      </c>
      <c r="E253" s="233">
        <f>SUMPRODUCT((Sorties[Date]=A253)*IF(ISNUMBER(Sorties[Coût TTC]),Sorties[Coût TTC],0))</f>
        <v>0</v>
      </c>
      <c r="F253" s="232">
        <f>SUMPRODUCT((Prévisions[0]=A253)*IF(Prévisions[E / S]="Sortie",IF(ISNUMBER(Prévisions[Coût TTC]),Prévisions[Coût TTC],0),0))</f>
        <v>0</v>
      </c>
      <c r="G253" s="234">
        <f t="shared" si="2"/>
        <v>0</v>
      </c>
      <c r="H253" s="235">
        <f t="shared" si="4"/>
        <v>-798.48</v>
      </c>
      <c r="I253" s="236" t="str">
        <f t="shared" si="3"/>
        <v>⛔  DÉCOUVERT</v>
      </c>
      <c r="J253" s="237">
        <v>249.0</v>
      </c>
      <c r="K253" s="238"/>
    </row>
    <row r="254" ht="18.75" customHeight="1">
      <c r="A254" s="229">
        <f>DATE(Tresorerie!$E$2,1,1)+J253</f>
        <v>46272</v>
      </c>
      <c r="B254" s="240" t="str">
        <f t="shared" si="1"/>
        <v>lun.</v>
      </c>
      <c r="C254" s="231">
        <f>SUMPRODUCT((Entrées[Date]=A254)*IF(ISNUMBER(Entrées[Montant TTC]),Entrées[Montant TTC],0))</f>
        <v>0</v>
      </c>
      <c r="D254" s="232">
        <f>SUMPRODUCT((Prévisions[0]=A254)*IF(Prévisions[E / S]="Entrée",IF(ISNUMBER(Prévisions[Coût TTC]),Prévisions[Coût TTC],0),0))</f>
        <v>0</v>
      </c>
      <c r="E254" s="233">
        <f>SUMPRODUCT((Sorties[Date]=A254)*IF(ISNUMBER(Sorties[Coût TTC]),Sorties[Coût TTC],0))</f>
        <v>0</v>
      </c>
      <c r="F254" s="232">
        <f>SUMPRODUCT((Prévisions[0]=A254)*IF(Prévisions[E / S]="Sortie",IF(ISNUMBER(Prévisions[Coût TTC]),Prévisions[Coût TTC],0),0))</f>
        <v>0</v>
      </c>
      <c r="G254" s="234">
        <f t="shared" si="2"/>
        <v>0</v>
      </c>
      <c r="H254" s="235">
        <f t="shared" si="4"/>
        <v>-798.48</v>
      </c>
      <c r="I254" s="236" t="str">
        <f t="shared" si="3"/>
        <v>⛔  DÉCOUVERT</v>
      </c>
      <c r="J254" s="237">
        <v>250.0</v>
      </c>
      <c r="K254" s="238"/>
    </row>
    <row r="255" ht="18.75" customHeight="1">
      <c r="A255" s="229">
        <f>DATE(Tresorerie!$E$2,1,1)+J254</f>
        <v>46273</v>
      </c>
      <c r="B255" s="230" t="str">
        <f t="shared" si="1"/>
        <v>mar.</v>
      </c>
      <c r="C255" s="231">
        <f>SUMPRODUCT((Entrées[Date]=A255)*IF(ISNUMBER(Entrées[Montant TTC]),Entrées[Montant TTC],0))</f>
        <v>0</v>
      </c>
      <c r="D255" s="232">
        <f>SUMPRODUCT((Prévisions[0]=A255)*IF(Prévisions[E / S]="Entrée",IF(ISNUMBER(Prévisions[Coût TTC]),Prévisions[Coût TTC],0),0))</f>
        <v>0</v>
      </c>
      <c r="E255" s="233">
        <f>SUMPRODUCT((Sorties[Date]=A255)*IF(ISNUMBER(Sorties[Coût TTC]),Sorties[Coût TTC],0))</f>
        <v>0</v>
      </c>
      <c r="F255" s="232">
        <f>SUMPRODUCT((Prévisions[0]=A255)*IF(Prévisions[E / S]="Sortie",IF(ISNUMBER(Prévisions[Coût TTC]),Prévisions[Coût TTC],0),0))</f>
        <v>0</v>
      </c>
      <c r="G255" s="234">
        <f t="shared" si="2"/>
        <v>0</v>
      </c>
      <c r="H255" s="235">
        <f t="shared" si="4"/>
        <v>-798.48</v>
      </c>
      <c r="I255" s="236" t="str">
        <f t="shared" si="3"/>
        <v>⛔  DÉCOUVERT</v>
      </c>
      <c r="J255" s="237">
        <v>251.0</v>
      </c>
      <c r="K255" s="238"/>
    </row>
    <row r="256" ht="18.75" customHeight="1">
      <c r="A256" s="229">
        <f>DATE(Tresorerie!$E$2,1,1)+J255</f>
        <v>46274</v>
      </c>
      <c r="B256" s="230" t="str">
        <f t="shared" si="1"/>
        <v>mer.</v>
      </c>
      <c r="C256" s="231">
        <f>SUMPRODUCT((Entrées[Date]=A256)*IF(ISNUMBER(Entrées[Montant TTC]),Entrées[Montant TTC],0))</f>
        <v>0</v>
      </c>
      <c r="D256" s="232">
        <f>SUMPRODUCT((Prévisions[0]=A256)*IF(Prévisions[E / S]="Entrée",IF(ISNUMBER(Prévisions[Coût TTC]),Prévisions[Coût TTC],0),0))</f>
        <v>0</v>
      </c>
      <c r="E256" s="233">
        <f>SUMPRODUCT((Sorties[Date]=A256)*IF(ISNUMBER(Sorties[Coût TTC]),Sorties[Coût TTC],0))</f>
        <v>0</v>
      </c>
      <c r="F256" s="232">
        <f>SUMPRODUCT((Prévisions[0]=A256)*IF(Prévisions[E / S]="Sortie",IF(ISNUMBER(Prévisions[Coût TTC]),Prévisions[Coût TTC],0),0))</f>
        <v>0</v>
      </c>
      <c r="G256" s="234">
        <f t="shared" si="2"/>
        <v>0</v>
      </c>
      <c r="H256" s="235">
        <f t="shared" si="4"/>
        <v>-798.48</v>
      </c>
      <c r="I256" s="236" t="str">
        <f t="shared" si="3"/>
        <v>⛔  DÉCOUVERT</v>
      </c>
      <c r="J256" s="237">
        <v>252.0</v>
      </c>
      <c r="K256" s="238"/>
    </row>
    <row r="257" ht="18.75" customHeight="1">
      <c r="A257" s="229">
        <f>DATE(Tresorerie!$E$2,1,1)+J256</f>
        <v>46275</v>
      </c>
      <c r="B257" s="230" t="str">
        <f t="shared" si="1"/>
        <v>jeu.</v>
      </c>
      <c r="C257" s="231">
        <f>SUMPRODUCT((Entrées[Date]=A257)*IF(ISNUMBER(Entrées[Montant TTC]),Entrées[Montant TTC],0))</f>
        <v>0</v>
      </c>
      <c r="D257" s="232">
        <f>SUMPRODUCT((Prévisions[0]=A257)*IF(Prévisions[E / S]="Entrée",IF(ISNUMBER(Prévisions[Coût TTC]),Prévisions[Coût TTC],0),0))</f>
        <v>0</v>
      </c>
      <c r="E257" s="233">
        <f>SUMPRODUCT((Sorties[Date]=A257)*IF(ISNUMBER(Sorties[Coût TTC]),Sorties[Coût TTC],0))</f>
        <v>0</v>
      </c>
      <c r="F257" s="232">
        <f>SUMPRODUCT((Prévisions[0]=A257)*IF(Prévisions[E / S]="Sortie",IF(ISNUMBER(Prévisions[Coût TTC]),Prévisions[Coût TTC],0),0))</f>
        <v>0</v>
      </c>
      <c r="G257" s="234">
        <f t="shared" si="2"/>
        <v>0</v>
      </c>
      <c r="H257" s="235">
        <f t="shared" si="4"/>
        <v>-798.48</v>
      </c>
      <c r="I257" s="236" t="str">
        <f t="shared" si="3"/>
        <v>⛔  DÉCOUVERT</v>
      </c>
      <c r="J257" s="237">
        <v>253.0</v>
      </c>
      <c r="K257" s="238"/>
    </row>
    <row r="258" ht="18.75" customHeight="1">
      <c r="A258" s="229">
        <f>DATE(Tresorerie!$E$2,1,1)+J257</f>
        <v>46276</v>
      </c>
      <c r="B258" s="230" t="str">
        <f t="shared" si="1"/>
        <v>ven.</v>
      </c>
      <c r="C258" s="231">
        <f>SUMPRODUCT((Entrées[Date]=A258)*IF(ISNUMBER(Entrées[Montant TTC]),Entrées[Montant TTC],0))</f>
        <v>0</v>
      </c>
      <c r="D258" s="232">
        <f>SUMPRODUCT((Prévisions[0]=A258)*IF(Prévisions[E / S]="Entrée",IF(ISNUMBER(Prévisions[Coût TTC]),Prévisions[Coût TTC],0),0))</f>
        <v>0</v>
      </c>
      <c r="E258" s="233">
        <f>SUMPRODUCT((Sorties[Date]=A258)*IF(ISNUMBER(Sorties[Coût TTC]),Sorties[Coût TTC],0))</f>
        <v>0</v>
      </c>
      <c r="F258" s="232">
        <f>SUMPRODUCT((Prévisions[0]=A258)*IF(Prévisions[E / S]="Sortie",IF(ISNUMBER(Prévisions[Coût TTC]),Prévisions[Coût TTC],0),0))</f>
        <v>0</v>
      </c>
      <c r="G258" s="234">
        <f t="shared" si="2"/>
        <v>0</v>
      </c>
      <c r="H258" s="235">
        <f t="shared" si="4"/>
        <v>-798.48</v>
      </c>
      <c r="I258" s="236" t="str">
        <f t="shared" si="3"/>
        <v>⛔  DÉCOUVERT</v>
      </c>
      <c r="J258" s="237">
        <v>254.0</v>
      </c>
      <c r="K258" s="238"/>
    </row>
    <row r="259" ht="18.75" customHeight="1">
      <c r="A259" s="229">
        <f>DATE(Tresorerie!$E$2,1,1)+J258</f>
        <v>46277</v>
      </c>
      <c r="B259" s="239" t="str">
        <f t="shared" si="1"/>
        <v>sam.</v>
      </c>
      <c r="C259" s="231">
        <f>SUMPRODUCT((Entrées[Date]=A259)*IF(ISNUMBER(Entrées[Montant TTC]),Entrées[Montant TTC],0))</f>
        <v>0</v>
      </c>
      <c r="D259" s="232">
        <f>SUMPRODUCT((Prévisions[0]=A259)*IF(Prévisions[E / S]="Entrée",IF(ISNUMBER(Prévisions[Coût TTC]),Prévisions[Coût TTC],0),0))</f>
        <v>0</v>
      </c>
      <c r="E259" s="233">
        <f>SUMPRODUCT((Sorties[Date]=A259)*IF(ISNUMBER(Sorties[Coût TTC]),Sorties[Coût TTC],0))</f>
        <v>0</v>
      </c>
      <c r="F259" s="232">
        <f>SUMPRODUCT((Prévisions[0]=A259)*IF(Prévisions[E / S]="Sortie",IF(ISNUMBER(Prévisions[Coût TTC]),Prévisions[Coût TTC],0),0))</f>
        <v>0</v>
      </c>
      <c r="G259" s="234">
        <f t="shared" si="2"/>
        <v>0</v>
      </c>
      <c r="H259" s="235">
        <f t="shared" si="4"/>
        <v>-798.48</v>
      </c>
      <c r="I259" s="236" t="str">
        <f t="shared" si="3"/>
        <v>⛔  DÉCOUVERT</v>
      </c>
      <c r="J259" s="237">
        <v>255.0</v>
      </c>
      <c r="K259" s="238"/>
    </row>
    <row r="260" ht="18.75" customHeight="1">
      <c r="A260" s="229">
        <f>DATE(Tresorerie!$E$2,1,1)+J259</f>
        <v>46278</v>
      </c>
      <c r="B260" s="239" t="str">
        <f t="shared" si="1"/>
        <v>dim.</v>
      </c>
      <c r="C260" s="231">
        <f>SUMPRODUCT((Entrées[Date]=A260)*IF(ISNUMBER(Entrées[Montant TTC]),Entrées[Montant TTC],0))</f>
        <v>0</v>
      </c>
      <c r="D260" s="232">
        <f>SUMPRODUCT((Prévisions[0]=A260)*IF(Prévisions[E / S]="Entrée",IF(ISNUMBER(Prévisions[Coût TTC]),Prévisions[Coût TTC],0),0))</f>
        <v>0</v>
      </c>
      <c r="E260" s="233">
        <f>SUMPRODUCT((Sorties[Date]=A260)*IF(ISNUMBER(Sorties[Coût TTC]),Sorties[Coût TTC],0))</f>
        <v>0</v>
      </c>
      <c r="F260" s="232">
        <f>SUMPRODUCT((Prévisions[0]=A260)*IF(Prévisions[E / S]="Sortie",IF(ISNUMBER(Prévisions[Coût TTC]),Prévisions[Coût TTC],0),0))</f>
        <v>0</v>
      </c>
      <c r="G260" s="234">
        <f t="shared" si="2"/>
        <v>0</v>
      </c>
      <c r="H260" s="235">
        <f t="shared" si="4"/>
        <v>-798.48</v>
      </c>
      <c r="I260" s="236" t="str">
        <f t="shared" si="3"/>
        <v>⛔  DÉCOUVERT</v>
      </c>
      <c r="J260" s="237">
        <v>256.0</v>
      </c>
      <c r="K260" s="238"/>
    </row>
    <row r="261" ht="18.75" customHeight="1">
      <c r="A261" s="229">
        <f>DATE(Tresorerie!$E$2,1,1)+J260</f>
        <v>46279</v>
      </c>
      <c r="B261" s="240" t="str">
        <f t="shared" si="1"/>
        <v>lun.</v>
      </c>
      <c r="C261" s="231">
        <f>SUMPRODUCT((Entrées[Date]=A261)*IF(ISNUMBER(Entrées[Montant TTC]),Entrées[Montant TTC],0))</f>
        <v>0</v>
      </c>
      <c r="D261" s="232">
        <f>SUMPRODUCT((Prévisions[0]=A261)*IF(Prévisions[E / S]="Entrée",IF(ISNUMBER(Prévisions[Coût TTC]),Prévisions[Coût TTC],0),0))</f>
        <v>0</v>
      </c>
      <c r="E261" s="233">
        <f>SUMPRODUCT((Sorties[Date]=A261)*IF(ISNUMBER(Sorties[Coût TTC]),Sorties[Coût TTC],0))</f>
        <v>0</v>
      </c>
      <c r="F261" s="232">
        <f>SUMPRODUCT((Prévisions[0]=A261)*IF(Prévisions[E / S]="Sortie",IF(ISNUMBER(Prévisions[Coût TTC]),Prévisions[Coût TTC],0),0))</f>
        <v>600</v>
      </c>
      <c r="G261" s="234">
        <f t="shared" si="2"/>
        <v>-600</v>
      </c>
      <c r="H261" s="235">
        <f t="shared" si="4"/>
        <v>-1398.48</v>
      </c>
      <c r="I261" s="236" t="str">
        <f t="shared" si="3"/>
        <v>⛔  DÉCOUVERT</v>
      </c>
      <c r="J261" s="237">
        <v>257.0</v>
      </c>
      <c r="K261" s="238"/>
    </row>
    <row r="262" ht="18.75" customHeight="1">
      <c r="A262" s="229">
        <f>DATE(Tresorerie!$E$2,1,1)+J261</f>
        <v>46280</v>
      </c>
      <c r="B262" s="230" t="str">
        <f t="shared" si="1"/>
        <v>mar.</v>
      </c>
      <c r="C262" s="231">
        <f>SUMPRODUCT((Entrées[Date]=A262)*IF(ISNUMBER(Entrées[Montant TTC]),Entrées[Montant TTC],0))</f>
        <v>0</v>
      </c>
      <c r="D262" s="232">
        <f>SUMPRODUCT((Prévisions[0]=A262)*IF(Prévisions[E / S]="Entrée",IF(ISNUMBER(Prévisions[Coût TTC]),Prévisions[Coût TTC],0),0))</f>
        <v>0</v>
      </c>
      <c r="E262" s="233">
        <f>SUMPRODUCT((Sorties[Date]=A262)*IF(ISNUMBER(Sorties[Coût TTC]),Sorties[Coût TTC],0))</f>
        <v>0</v>
      </c>
      <c r="F262" s="232">
        <f>SUMPRODUCT((Prévisions[0]=A262)*IF(Prévisions[E / S]="Sortie",IF(ISNUMBER(Prévisions[Coût TTC]),Prévisions[Coût TTC],0),0))</f>
        <v>302.99</v>
      </c>
      <c r="G262" s="234">
        <f t="shared" si="2"/>
        <v>-302.99</v>
      </c>
      <c r="H262" s="235">
        <f t="shared" si="4"/>
        <v>-1701.47</v>
      </c>
      <c r="I262" s="236" t="str">
        <f t="shared" si="3"/>
        <v>⛔  DÉCOUVERT</v>
      </c>
      <c r="J262" s="237">
        <v>258.0</v>
      </c>
      <c r="K262" s="238"/>
    </row>
    <row r="263" ht="18.75" customHeight="1">
      <c r="A263" s="229">
        <f>DATE(Tresorerie!$E$2,1,1)+J262</f>
        <v>46281</v>
      </c>
      <c r="B263" s="230" t="str">
        <f t="shared" si="1"/>
        <v>mer.</v>
      </c>
      <c r="C263" s="231">
        <f>SUMPRODUCT((Entrées[Date]=A263)*IF(ISNUMBER(Entrées[Montant TTC]),Entrées[Montant TTC],0))</f>
        <v>0</v>
      </c>
      <c r="D263" s="232">
        <f>SUMPRODUCT((Prévisions[0]=A263)*IF(Prévisions[E / S]="Entrée",IF(ISNUMBER(Prévisions[Coût TTC]),Prévisions[Coût TTC],0),0))</f>
        <v>0</v>
      </c>
      <c r="E263" s="233">
        <f>SUMPRODUCT((Sorties[Date]=A263)*IF(ISNUMBER(Sorties[Coût TTC]),Sorties[Coût TTC],0))</f>
        <v>0</v>
      </c>
      <c r="F263" s="232">
        <f>SUMPRODUCT((Prévisions[0]=A263)*IF(Prévisions[E / S]="Sortie",IF(ISNUMBER(Prévisions[Coût TTC]),Prévisions[Coût TTC],0),0))</f>
        <v>0</v>
      </c>
      <c r="G263" s="234">
        <f t="shared" si="2"/>
        <v>0</v>
      </c>
      <c r="H263" s="235">
        <f t="shared" si="4"/>
        <v>-1701.47</v>
      </c>
      <c r="I263" s="236" t="str">
        <f t="shared" si="3"/>
        <v>⛔  DÉCOUVERT</v>
      </c>
      <c r="J263" s="237">
        <v>259.0</v>
      </c>
      <c r="K263" s="238"/>
    </row>
    <row r="264" ht="18.75" customHeight="1">
      <c r="A264" s="229">
        <f>DATE(Tresorerie!$E$2,1,1)+J263</f>
        <v>46282</v>
      </c>
      <c r="B264" s="230" t="str">
        <f t="shared" si="1"/>
        <v>jeu.</v>
      </c>
      <c r="C264" s="231">
        <f>SUMPRODUCT((Entrées[Date]=A264)*IF(ISNUMBER(Entrées[Montant TTC]),Entrées[Montant TTC],0))</f>
        <v>0</v>
      </c>
      <c r="D264" s="232">
        <f>SUMPRODUCT((Prévisions[0]=A264)*IF(Prévisions[E / S]="Entrée",IF(ISNUMBER(Prévisions[Coût TTC]),Prévisions[Coût TTC],0),0))</f>
        <v>0</v>
      </c>
      <c r="E264" s="233">
        <f>SUMPRODUCT((Sorties[Date]=A264)*IF(ISNUMBER(Sorties[Coût TTC]),Sorties[Coût TTC],0))</f>
        <v>0</v>
      </c>
      <c r="F264" s="232">
        <f>SUMPRODUCT((Prévisions[0]=A264)*IF(Prévisions[E / S]="Sortie",IF(ISNUMBER(Prévisions[Coût TTC]),Prévisions[Coût TTC],0),0))</f>
        <v>0</v>
      </c>
      <c r="G264" s="234">
        <f t="shared" si="2"/>
        <v>0</v>
      </c>
      <c r="H264" s="235">
        <f t="shared" si="4"/>
        <v>-1701.47</v>
      </c>
      <c r="I264" s="236" t="str">
        <f t="shared" si="3"/>
        <v>⛔  DÉCOUVERT</v>
      </c>
      <c r="J264" s="237">
        <v>260.0</v>
      </c>
      <c r="K264" s="238"/>
    </row>
    <row r="265" ht="18.75" customHeight="1">
      <c r="A265" s="229">
        <f>DATE(Tresorerie!$E$2,1,1)+J264</f>
        <v>46283</v>
      </c>
      <c r="B265" s="230" t="str">
        <f t="shared" si="1"/>
        <v>ven.</v>
      </c>
      <c r="C265" s="231">
        <f>SUMPRODUCT((Entrées[Date]=A265)*IF(ISNUMBER(Entrées[Montant TTC]),Entrées[Montant TTC],0))</f>
        <v>0</v>
      </c>
      <c r="D265" s="232">
        <f>SUMPRODUCT((Prévisions[0]=A265)*IF(Prévisions[E / S]="Entrée",IF(ISNUMBER(Prévisions[Coût TTC]),Prévisions[Coût TTC],0),0))</f>
        <v>0</v>
      </c>
      <c r="E265" s="233">
        <f>SUMPRODUCT((Sorties[Date]=A265)*IF(ISNUMBER(Sorties[Coût TTC]),Sorties[Coût TTC],0))</f>
        <v>0</v>
      </c>
      <c r="F265" s="232">
        <f>SUMPRODUCT((Prévisions[0]=A265)*IF(Prévisions[E / S]="Sortie",IF(ISNUMBER(Prévisions[Coût TTC]),Prévisions[Coût TTC],0),0))</f>
        <v>0</v>
      </c>
      <c r="G265" s="234">
        <f t="shared" si="2"/>
        <v>0</v>
      </c>
      <c r="H265" s="235">
        <f t="shared" si="4"/>
        <v>-1701.47</v>
      </c>
      <c r="I265" s="236" t="str">
        <f t="shared" si="3"/>
        <v>⛔  DÉCOUVERT</v>
      </c>
      <c r="J265" s="237">
        <v>261.0</v>
      </c>
      <c r="K265" s="238"/>
    </row>
    <row r="266" ht="18.75" customHeight="1">
      <c r="A266" s="229">
        <f>DATE(Tresorerie!$E$2,1,1)+J265</f>
        <v>46284</v>
      </c>
      <c r="B266" s="239" t="str">
        <f t="shared" si="1"/>
        <v>sam.</v>
      </c>
      <c r="C266" s="231">
        <f>SUMPRODUCT((Entrées[Date]=A266)*IF(ISNUMBER(Entrées[Montant TTC]),Entrées[Montant TTC],0))</f>
        <v>0</v>
      </c>
      <c r="D266" s="232">
        <f>SUMPRODUCT((Prévisions[0]=A266)*IF(Prévisions[E / S]="Entrée",IF(ISNUMBER(Prévisions[Coût TTC]),Prévisions[Coût TTC],0),0))</f>
        <v>2000</v>
      </c>
      <c r="E266" s="233">
        <f>SUMPRODUCT((Sorties[Date]=A266)*IF(ISNUMBER(Sorties[Coût TTC]),Sorties[Coût TTC],0))</f>
        <v>0</v>
      </c>
      <c r="F266" s="232">
        <f>SUMPRODUCT((Prévisions[0]=A266)*IF(Prévisions[E / S]="Sortie",IF(ISNUMBER(Prévisions[Coût TTC]),Prévisions[Coût TTC],0),0))</f>
        <v>0</v>
      </c>
      <c r="G266" s="234">
        <f t="shared" si="2"/>
        <v>2000</v>
      </c>
      <c r="H266" s="235">
        <f t="shared" si="4"/>
        <v>298.53</v>
      </c>
      <c r="I266" s="236" t="str">
        <f t="shared" si="3"/>
        <v>⚡  Solde faible</v>
      </c>
      <c r="J266" s="237">
        <v>262.0</v>
      </c>
      <c r="K266" s="238"/>
    </row>
    <row r="267" ht="18.75" customHeight="1">
      <c r="A267" s="229">
        <f>DATE(Tresorerie!$E$2,1,1)+J266</f>
        <v>46285</v>
      </c>
      <c r="B267" s="239" t="str">
        <f t="shared" si="1"/>
        <v>dim.</v>
      </c>
      <c r="C267" s="231">
        <f>SUMPRODUCT((Entrées[Date]=A267)*IF(ISNUMBER(Entrées[Montant TTC]),Entrées[Montant TTC],0))</f>
        <v>0</v>
      </c>
      <c r="D267" s="232">
        <f>SUMPRODUCT((Prévisions[0]=A267)*IF(Prévisions[E / S]="Entrée",IF(ISNUMBER(Prévisions[Coût TTC]),Prévisions[Coût TTC],0),0))</f>
        <v>0</v>
      </c>
      <c r="E267" s="233">
        <f>SUMPRODUCT((Sorties[Date]=A267)*IF(ISNUMBER(Sorties[Coût TTC]),Sorties[Coût TTC],0))</f>
        <v>0</v>
      </c>
      <c r="F267" s="232">
        <f>SUMPRODUCT((Prévisions[0]=A267)*IF(Prévisions[E / S]="Sortie",IF(ISNUMBER(Prévisions[Coût TTC]),Prévisions[Coût TTC],0),0))</f>
        <v>0</v>
      </c>
      <c r="G267" s="234">
        <f t="shared" si="2"/>
        <v>0</v>
      </c>
      <c r="H267" s="235">
        <f t="shared" si="4"/>
        <v>298.53</v>
      </c>
      <c r="I267" s="236" t="str">
        <f t="shared" si="3"/>
        <v>⚡  Solde faible</v>
      </c>
      <c r="J267" s="237">
        <v>263.0</v>
      </c>
      <c r="K267" s="238"/>
    </row>
    <row r="268" ht="18.75" customHeight="1">
      <c r="A268" s="229">
        <f>DATE(Tresorerie!$E$2,1,1)+J267</f>
        <v>46286</v>
      </c>
      <c r="B268" s="240" t="str">
        <f t="shared" si="1"/>
        <v>lun.</v>
      </c>
      <c r="C268" s="231">
        <f>SUMPRODUCT((Entrées[Date]=A268)*IF(ISNUMBER(Entrées[Montant TTC]),Entrées[Montant TTC],0))</f>
        <v>0</v>
      </c>
      <c r="D268" s="232">
        <f>SUMPRODUCT((Prévisions[0]=A268)*IF(Prévisions[E / S]="Entrée",IF(ISNUMBER(Prévisions[Coût TTC]),Prévisions[Coût TTC],0),0))</f>
        <v>0</v>
      </c>
      <c r="E268" s="233">
        <f>SUMPRODUCT((Sorties[Date]=A268)*IF(ISNUMBER(Sorties[Coût TTC]),Sorties[Coût TTC],0))</f>
        <v>0</v>
      </c>
      <c r="F268" s="232">
        <f>SUMPRODUCT((Prévisions[0]=A268)*IF(Prévisions[E / S]="Sortie",IF(ISNUMBER(Prévisions[Coût TTC]),Prévisions[Coût TTC],0),0))</f>
        <v>0</v>
      </c>
      <c r="G268" s="234">
        <f t="shared" si="2"/>
        <v>0</v>
      </c>
      <c r="H268" s="235">
        <f t="shared" si="4"/>
        <v>298.53</v>
      </c>
      <c r="I268" s="236" t="str">
        <f t="shared" si="3"/>
        <v>⚡  Solde faible</v>
      </c>
      <c r="J268" s="237">
        <v>264.0</v>
      </c>
      <c r="K268" s="238"/>
    </row>
    <row r="269" ht="18.75" customHeight="1">
      <c r="A269" s="229">
        <f>DATE(Tresorerie!$E$2,1,1)+J268</f>
        <v>46287</v>
      </c>
      <c r="B269" s="230" t="str">
        <f t="shared" si="1"/>
        <v>mar.</v>
      </c>
      <c r="C269" s="231">
        <f>SUMPRODUCT((Entrées[Date]=A269)*IF(ISNUMBER(Entrées[Montant TTC]),Entrées[Montant TTC],0))</f>
        <v>0</v>
      </c>
      <c r="D269" s="232">
        <f>SUMPRODUCT((Prévisions[0]=A269)*IF(Prévisions[E / S]="Entrée",IF(ISNUMBER(Prévisions[Coût TTC]),Prévisions[Coût TTC],0),0))</f>
        <v>0</v>
      </c>
      <c r="E269" s="233">
        <f>SUMPRODUCT((Sorties[Date]=A269)*IF(ISNUMBER(Sorties[Coût TTC]),Sorties[Coût TTC],0))</f>
        <v>0</v>
      </c>
      <c r="F269" s="232">
        <f>SUMPRODUCT((Prévisions[0]=A269)*IF(Prévisions[E / S]="Sortie",IF(ISNUMBER(Prévisions[Coût TTC]),Prévisions[Coût TTC],0),0))</f>
        <v>0</v>
      </c>
      <c r="G269" s="234">
        <f t="shared" si="2"/>
        <v>0</v>
      </c>
      <c r="H269" s="235">
        <f t="shared" si="4"/>
        <v>298.53</v>
      </c>
      <c r="I269" s="236" t="str">
        <f t="shared" si="3"/>
        <v>⚡  Solde faible</v>
      </c>
      <c r="J269" s="237">
        <v>265.0</v>
      </c>
      <c r="K269" s="238"/>
    </row>
    <row r="270" ht="18.75" customHeight="1">
      <c r="A270" s="229">
        <f>DATE(Tresorerie!$E$2,1,1)+J269</f>
        <v>46288</v>
      </c>
      <c r="B270" s="230" t="str">
        <f t="shared" si="1"/>
        <v>mer.</v>
      </c>
      <c r="C270" s="231">
        <f>SUMPRODUCT((Entrées[Date]=A270)*IF(ISNUMBER(Entrées[Montant TTC]),Entrées[Montant TTC],0))</f>
        <v>0</v>
      </c>
      <c r="D270" s="232">
        <f>SUMPRODUCT((Prévisions[0]=A270)*IF(Prévisions[E / S]="Entrée",IF(ISNUMBER(Prévisions[Coût TTC]),Prévisions[Coût TTC],0),0))</f>
        <v>0</v>
      </c>
      <c r="E270" s="233">
        <f>SUMPRODUCT((Sorties[Date]=A270)*IF(ISNUMBER(Sorties[Coût TTC]),Sorties[Coût TTC],0))</f>
        <v>0</v>
      </c>
      <c r="F270" s="232">
        <f>SUMPRODUCT((Prévisions[0]=A270)*IF(Prévisions[E / S]="Sortie",IF(ISNUMBER(Prévisions[Coût TTC]),Prévisions[Coût TTC],0),0))</f>
        <v>0</v>
      </c>
      <c r="G270" s="234">
        <f t="shared" si="2"/>
        <v>0</v>
      </c>
      <c r="H270" s="235">
        <f t="shared" si="4"/>
        <v>298.53</v>
      </c>
      <c r="I270" s="236" t="str">
        <f t="shared" si="3"/>
        <v>⚡  Solde faible</v>
      </c>
      <c r="J270" s="237">
        <v>266.0</v>
      </c>
      <c r="K270" s="238"/>
    </row>
    <row r="271" ht="18.75" customHeight="1">
      <c r="A271" s="229">
        <f>DATE(Tresorerie!$E$2,1,1)+J270</f>
        <v>46289</v>
      </c>
      <c r="B271" s="230" t="str">
        <f t="shared" si="1"/>
        <v>jeu.</v>
      </c>
      <c r="C271" s="231">
        <f>SUMPRODUCT((Entrées[Date]=A271)*IF(ISNUMBER(Entrées[Montant TTC]),Entrées[Montant TTC],0))</f>
        <v>0</v>
      </c>
      <c r="D271" s="232">
        <f>SUMPRODUCT((Prévisions[0]=A271)*IF(Prévisions[E / S]="Entrée",IF(ISNUMBER(Prévisions[Coût TTC]),Prévisions[Coût TTC],0),0))</f>
        <v>0</v>
      </c>
      <c r="E271" s="233">
        <f>SUMPRODUCT((Sorties[Date]=A271)*IF(ISNUMBER(Sorties[Coût TTC]),Sorties[Coût TTC],0))</f>
        <v>0</v>
      </c>
      <c r="F271" s="232">
        <f>SUMPRODUCT((Prévisions[0]=A271)*IF(Prévisions[E / S]="Sortie",IF(ISNUMBER(Prévisions[Coût TTC]),Prévisions[Coût TTC],0),0))</f>
        <v>0</v>
      </c>
      <c r="G271" s="234">
        <f t="shared" si="2"/>
        <v>0</v>
      </c>
      <c r="H271" s="235">
        <f t="shared" si="4"/>
        <v>298.53</v>
      </c>
      <c r="I271" s="236" t="str">
        <f t="shared" si="3"/>
        <v>⚡  Solde faible</v>
      </c>
      <c r="J271" s="237">
        <v>267.0</v>
      </c>
      <c r="K271" s="238"/>
    </row>
    <row r="272" ht="18.75" customHeight="1">
      <c r="A272" s="229">
        <f>DATE(Tresorerie!$E$2,1,1)+J271</f>
        <v>46290</v>
      </c>
      <c r="B272" s="230" t="str">
        <f t="shared" si="1"/>
        <v>ven.</v>
      </c>
      <c r="C272" s="231">
        <f>SUMPRODUCT((Entrées[Date]=A272)*IF(ISNUMBER(Entrées[Montant TTC]),Entrées[Montant TTC],0))</f>
        <v>0</v>
      </c>
      <c r="D272" s="232">
        <f>SUMPRODUCT((Prévisions[0]=A272)*IF(Prévisions[E / S]="Entrée",IF(ISNUMBER(Prévisions[Coût TTC]),Prévisions[Coût TTC],0),0))</f>
        <v>0</v>
      </c>
      <c r="E272" s="233">
        <f>SUMPRODUCT((Sorties[Date]=A272)*IF(ISNUMBER(Sorties[Coût TTC]),Sorties[Coût TTC],0))</f>
        <v>0</v>
      </c>
      <c r="F272" s="232">
        <f>SUMPRODUCT((Prévisions[0]=A272)*IF(Prévisions[E / S]="Sortie",IF(ISNUMBER(Prévisions[Coût TTC]),Prévisions[Coût TTC],0),0))</f>
        <v>0</v>
      </c>
      <c r="G272" s="234">
        <f t="shared" si="2"/>
        <v>0</v>
      </c>
      <c r="H272" s="235">
        <f t="shared" si="4"/>
        <v>298.53</v>
      </c>
      <c r="I272" s="236" t="str">
        <f t="shared" si="3"/>
        <v>⚡  Solde faible</v>
      </c>
      <c r="J272" s="237">
        <v>268.0</v>
      </c>
      <c r="K272" s="238"/>
    </row>
    <row r="273" ht="18.75" customHeight="1">
      <c r="A273" s="229">
        <f>DATE(Tresorerie!$E$2,1,1)+J272</f>
        <v>46291</v>
      </c>
      <c r="B273" s="239" t="str">
        <f t="shared" si="1"/>
        <v>sam.</v>
      </c>
      <c r="C273" s="231">
        <f>SUMPRODUCT((Entrées[Date]=A273)*IF(ISNUMBER(Entrées[Montant TTC]),Entrées[Montant TTC],0))</f>
        <v>0</v>
      </c>
      <c r="D273" s="232">
        <f>SUMPRODUCT((Prévisions[0]=A273)*IF(Prévisions[E / S]="Entrée",IF(ISNUMBER(Prévisions[Coût TTC]),Prévisions[Coût TTC],0),0))</f>
        <v>0</v>
      </c>
      <c r="E273" s="233">
        <f>SUMPRODUCT((Sorties[Date]=A273)*IF(ISNUMBER(Sorties[Coût TTC]),Sorties[Coût TTC],0))</f>
        <v>0</v>
      </c>
      <c r="F273" s="232">
        <f>SUMPRODUCT((Prévisions[0]=A273)*IF(Prévisions[E / S]="Sortie",IF(ISNUMBER(Prévisions[Coût TTC]),Prévisions[Coût TTC],0),0))</f>
        <v>0</v>
      </c>
      <c r="G273" s="234">
        <f t="shared" si="2"/>
        <v>0</v>
      </c>
      <c r="H273" s="235">
        <f t="shared" si="4"/>
        <v>298.53</v>
      </c>
      <c r="I273" s="236" t="str">
        <f t="shared" si="3"/>
        <v>⚡  Solde faible</v>
      </c>
      <c r="J273" s="237">
        <v>269.0</v>
      </c>
      <c r="K273" s="238"/>
    </row>
    <row r="274" ht="18.75" customHeight="1">
      <c r="A274" s="229">
        <f>DATE(Tresorerie!$E$2,1,1)+J273</f>
        <v>46292</v>
      </c>
      <c r="B274" s="239" t="str">
        <f t="shared" si="1"/>
        <v>dim.</v>
      </c>
      <c r="C274" s="231">
        <f>SUMPRODUCT((Entrées[Date]=A274)*IF(ISNUMBER(Entrées[Montant TTC]),Entrées[Montant TTC],0))</f>
        <v>0</v>
      </c>
      <c r="D274" s="232">
        <f>SUMPRODUCT((Prévisions[0]=A274)*IF(Prévisions[E / S]="Entrée",IF(ISNUMBER(Prévisions[Coût TTC]),Prévisions[Coût TTC],0),0))</f>
        <v>0</v>
      </c>
      <c r="E274" s="233">
        <f>SUMPRODUCT((Sorties[Date]=A274)*IF(ISNUMBER(Sorties[Coût TTC]),Sorties[Coût TTC],0))</f>
        <v>0</v>
      </c>
      <c r="F274" s="232">
        <f>SUMPRODUCT((Prévisions[0]=A274)*IF(Prévisions[E / S]="Sortie",IF(ISNUMBER(Prévisions[Coût TTC]),Prévisions[Coût TTC],0),0))</f>
        <v>0</v>
      </c>
      <c r="G274" s="234">
        <f t="shared" si="2"/>
        <v>0</v>
      </c>
      <c r="H274" s="235">
        <f t="shared" si="4"/>
        <v>298.53</v>
      </c>
      <c r="I274" s="236" t="str">
        <f t="shared" si="3"/>
        <v>⚡  Solde faible</v>
      </c>
      <c r="J274" s="237">
        <v>270.0</v>
      </c>
      <c r="K274" s="238"/>
    </row>
    <row r="275" ht="18.75" customHeight="1">
      <c r="A275" s="229">
        <f>DATE(Tresorerie!$E$2,1,1)+J274</f>
        <v>46293</v>
      </c>
      <c r="B275" s="240" t="str">
        <f t="shared" si="1"/>
        <v>lun.</v>
      </c>
      <c r="C275" s="231">
        <f>SUMPRODUCT((Entrées[Date]=A275)*IF(ISNUMBER(Entrées[Montant TTC]),Entrées[Montant TTC],0))</f>
        <v>0</v>
      </c>
      <c r="D275" s="232">
        <f>SUMPRODUCT((Prévisions[0]=A275)*IF(Prévisions[E / S]="Entrée",IF(ISNUMBER(Prévisions[Coût TTC]),Prévisions[Coût TTC],0),0))</f>
        <v>0</v>
      </c>
      <c r="E275" s="233">
        <f>SUMPRODUCT((Sorties[Date]=A275)*IF(ISNUMBER(Sorties[Coût TTC]),Sorties[Coût TTC],0))</f>
        <v>0</v>
      </c>
      <c r="F275" s="232">
        <f>SUMPRODUCT((Prévisions[0]=A275)*IF(Prévisions[E / S]="Sortie",IF(ISNUMBER(Prévisions[Coût TTC]),Prévisions[Coût TTC],0),0))</f>
        <v>0</v>
      </c>
      <c r="G275" s="234">
        <f t="shared" si="2"/>
        <v>0</v>
      </c>
      <c r="H275" s="235">
        <f t="shared" si="4"/>
        <v>298.53</v>
      </c>
      <c r="I275" s="236" t="str">
        <f t="shared" si="3"/>
        <v>⚡  Solde faible</v>
      </c>
      <c r="J275" s="237">
        <v>271.0</v>
      </c>
      <c r="K275" s="238"/>
    </row>
    <row r="276" ht="18.75" customHeight="1">
      <c r="A276" s="229">
        <f>DATE(Tresorerie!$E$2,1,1)+J275</f>
        <v>46294</v>
      </c>
      <c r="B276" s="230" t="str">
        <f t="shared" si="1"/>
        <v>mar.</v>
      </c>
      <c r="C276" s="231">
        <f>SUMPRODUCT((Entrées[Date]=A276)*IF(ISNUMBER(Entrées[Montant TTC]),Entrées[Montant TTC],0))</f>
        <v>0</v>
      </c>
      <c r="D276" s="232">
        <f>SUMPRODUCT((Prévisions[0]=A276)*IF(Prévisions[E / S]="Entrée",IF(ISNUMBER(Prévisions[Coût TTC]),Prévisions[Coût TTC],0),0))</f>
        <v>0</v>
      </c>
      <c r="E276" s="233">
        <f>SUMPRODUCT((Sorties[Date]=A276)*IF(ISNUMBER(Sorties[Coût TTC]),Sorties[Coût TTC],0))</f>
        <v>0</v>
      </c>
      <c r="F276" s="232">
        <f>SUMPRODUCT((Prévisions[0]=A276)*IF(Prévisions[E / S]="Sortie",IF(ISNUMBER(Prévisions[Coût TTC]),Prévisions[Coût TTC],0),0))</f>
        <v>0</v>
      </c>
      <c r="G276" s="234">
        <f t="shared" si="2"/>
        <v>0</v>
      </c>
      <c r="H276" s="235">
        <f t="shared" si="4"/>
        <v>298.53</v>
      </c>
      <c r="I276" s="236" t="str">
        <f t="shared" si="3"/>
        <v>⚡  Solde faible</v>
      </c>
      <c r="J276" s="237">
        <v>272.0</v>
      </c>
      <c r="K276" s="238"/>
    </row>
    <row r="277" ht="18.75" customHeight="1">
      <c r="A277" s="229">
        <f>DATE(Tresorerie!$E$2,1,1)+J276</f>
        <v>46295</v>
      </c>
      <c r="B277" s="230" t="str">
        <f t="shared" si="1"/>
        <v>mer.</v>
      </c>
      <c r="C277" s="231">
        <f>SUMPRODUCT((Entrées[Date]=A277)*IF(ISNUMBER(Entrées[Montant TTC]),Entrées[Montant TTC],0))</f>
        <v>0</v>
      </c>
      <c r="D277" s="232">
        <f>SUMPRODUCT((Prévisions[0]=A277)*IF(Prévisions[E / S]="Entrée",IF(ISNUMBER(Prévisions[Coût TTC]),Prévisions[Coût TTC],0),0))</f>
        <v>0</v>
      </c>
      <c r="E277" s="233">
        <f>SUMPRODUCT((Sorties[Date]=A277)*IF(ISNUMBER(Sorties[Coût TTC]),Sorties[Coût TTC],0))</f>
        <v>0</v>
      </c>
      <c r="F277" s="232">
        <f>SUMPRODUCT((Prévisions[0]=A277)*IF(Prévisions[E / S]="Sortie",IF(ISNUMBER(Prévisions[Coût TTC]),Prévisions[Coût TTC],0),0))</f>
        <v>1000</v>
      </c>
      <c r="G277" s="234">
        <f t="shared" si="2"/>
        <v>-1000</v>
      </c>
      <c r="H277" s="235">
        <f t="shared" si="4"/>
        <v>-701.47</v>
      </c>
      <c r="I277" s="236" t="str">
        <f t="shared" si="3"/>
        <v>⛔  DÉCOUVERT</v>
      </c>
      <c r="J277" s="237">
        <v>273.0</v>
      </c>
      <c r="K277" s="238"/>
    </row>
    <row r="278" ht="18.75" customHeight="1">
      <c r="A278" s="229">
        <f>DATE(Tresorerie!$E$2,1,1)+J277</f>
        <v>46296</v>
      </c>
      <c r="B278" s="230" t="str">
        <f t="shared" si="1"/>
        <v>jeu.</v>
      </c>
      <c r="C278" s="231">
        <f>SUMPRODUCT((Entrées[Date]=A278)*IF(ISNUMBER(Entrées[Montant TTC]),Entrées[Montant TTC],0))</f>
        <v>0</v>
      </c>
      <c r="D278" s="232">
        <f>SUMPRODUCT((Prévisions[0]=A278)*IF(Prévisions[E / S]="Entrée",IF(ISNUMBER(Prévisions[Coût TTC]),Prévisions[Coût TTC],0),0))</f>
        <v>0</v>
      </c>
      <c r="E278" s="233">
        <f>SUMPRODUCT((Sorties[Date]=A278)*IF(ISNUMBER(Sorties[Coût TTC]),Sorties[Coût TTC],0))</f>
        <v>0</v>
      </c>
      <c r="F278" s="232">
        <f>SUMPRODUCT((Prévisions[0]=A278)*IF(Prévisions[E / S]="Sortie",IF(ISNUMBER(Prévisions[Coût TTC]),Prévisions[Coût TTC],0),0))</f>
        <v>0</v>
      </c>
      <c r="G278" s="234">
        <f t="shared" si="2"/>
        <v>0</v>
      </c>
      <c r="H278" s="235">
        <f t="shared" si="4"/>
        <v>-701.47</v>
      </c>
      <c r="I278" s="236" t="str">
        <f t="shared" si="3"/>
        <v>⛔  DÉCOUVERT</v>
      </c>
      <c r="J278" s="237">
        <v>274.0</v>
      </c>
      <c r="K278" s="238"/>
    </row>
    <row r="279" ht="18.75" customHeight="1">
      <c r="A279" s="229">
        <f>DATE(Tresorerie!$E$2,1,1)+J278</f>
        <v>46297</v>
      </c>
      <c r="B279" s="230" t="str">
        <f t="shared" si="1"/>
        <v>ven.</v>
      </c>
      <c r="C279" s="231">
        <f>SUMPRODUCT((Entrées[Date]=A279)*IF(ISNUMBER(Entrées[Montant TTC]),Entrées[Montant TTC],0))</f>
        <v>0</v>
      </c>
      <c r="D279" s="232">
        <f>SUMPRODUCT((Prévisions[0]=A279)*IF(Prévisions[E / S]="Entrée",IF(ISNUMBER(Prévisions[Coût TTC]),Prévisions[Coût TTC],0),0))</f>
        <v>0</v>
      </c>
      <c r="E279" s="233">
        <f>SUMPRODUCT((Sorties[Date]=A279)*IF(ISNUMBER(Sorties[Coût TTC]),Sorties[Coût TTC],0))</f>
        <v>0</v>
      </c>
      <c r="F279" s="232">
        <f>SUMPRODUCT((Prévisions[0]=A279)*IF(Prévisions[E / S]="Sortie",IF(ISNUMBER(Prévisions[Coût TTC]),Prévisions[Coût TTC],0),0))</f>
        <v>0</v>
      </c>
      <c r="G279" s="234">
        <f t="shared" si="2"/>
        <v>0</v>
      </c>
      <c r="H279" s="235">
        <f t="shared" si="4"/>
        <v>-701.47</v>
      </c>
      <c r="I279" s="236" t="str">
        <f t="shared" si="3"/>
        <v>⛔  DÉCOUVERT</v>
      </c>
      <c r="J279" s="237">
        <v>275.0</v>
      </c>
      <c r="K279" s="238"/>
    </row>
    <row r="280" ht="18.75" customHeight="1">
      <c r="A280" s="229">
        <f>DATE(Tresorerie!$E$2,1,1)+J279</f>
        <v>46298</v>
      </c>
      <c r="B280" s="239" t="str">
        <f t="shared" si="1"/>
        <v>sam.</v>
      </c>
      <c r="C280" s="231">
        <f>SUMPRODUCT((Entrées[Date]=A280)*IF(ISNUMBER(Entrées[Montant TTC]),Entrées[Montant TTC],0))</f>
        <v>0</v>
      </c>
      <c r="D280" s="232">
        <f>SUMPRODUCT((Prévisions[0]=A280)*IF(Prévisions[E / S]="Entrée",IF(ISNUMBER(Prévisions[Coût TTC]),Prévisions[Coût TTC],0),0))</f>
        <v>0</v>
      </c>
      <c r="E280" s="233">
        <f>SUMPRODUCT((Sorties[Date]=A280)*IF(ISNUMBER(Sorties[Coût TTC]),Sorties[Coût TTC],0))</f>
        <v>0</v>
      </c>
      <c r="F280" s="232">
        <f>SUMPRODUCT((Prévisions[0]=A280)*IF(Prévisions[E / S]="Sortie",IF(ISNUMBER(Prévisions[Coût TTC]),Prévisions[Coût TTC],0),0))</f>
        <v>0</v>
      </c>
      <c r="G280" s="234">
        <f t="shared" si="2"/>
        <v>0</v>
      </c>
      <c r="H280" s="235">
        <f t="shared" si="4"/>
        <v>-701.47</v>
      </c>
      <c r="I280" s="236" t="str">
        <f t="shared" si="3"/>
        <v>⛔  DÉCOUVERT</v>
      </c>
      <c r="J280" s="237">
        <v>276.0</v>
      </c>
      <c r="K280" s="238"/>
    </row>
    <row r="281" ht="18.75" customHeight="1">
      <c r="A281" s="229">
        <f>DATE(Tresorerie!$E$2,1,1)+J280</f>
        <v>46299</v>
      </c>
      <c r="B281" s="239" t="str">
        <f t="shared" si="1"/>
        <v>dim.</v>
      </c>
      <c r="C281" s="231">
        <f>SUMPRODUCT((Entrées[Date]=A281)*IF(ISNUMBER(Entrées[Montant TTC]),Entrées[Montant TTC],0))</f>
        <v>0</v>
      </c>
      <c r="D281" s="232">
        <f>SUMPRODUCT((Prévisions[0]=A281)*IF(Prévisions[E / S]="Entrée",IF(ISNUMBER(Prévisions[Coût TTC]),Prévisions[Coût TTC],0),0))</f>
        <v>0</v>
      </c>
      <c r="E281" s="233">
        <f>SUMPRODUCT((Sorties[Date]=A281)*IF(ISNUMBER(Sorties[Coût TTC]),Sorties[Coût TTC],0))</f>
        <v>0</v>
      </c>
      <c r="F281" s="232">
        <f>SUMPRODUCT((Prévisions[0]=A281)*IF(Prévisions[E / S]="Sortie",IF(ISNUMBER(Prévisions[Coût TTC]),Prévisions[Coût TTC],0),0))</f>
        <v>0</v>
      </c>
      <c r="G281" s="234">
        <f t="shared" si="2"/>
        <v>0</v>
      </c>
      <c r="H281" s="235">
        <f t="shared" si="4"/>
        <v>-701.47</v>
      </c>
      <c r="I281" s="236" t="str">
        <f t="shared" si="3"/>
        <v>⛔  DÉCOUVERT</v>
      </c>
      <c r="J281" s="237">
        <v>277.0</v>
      </c>
      <c r="K281" s="238"/>
    </row>
    <row r="282" ht="18.75" customHeight="1">
      <c r="A282" s="229">
        <f>DATE(Tresorerie!$E$2,1,1)+J281</f>
        <v>46300</v>
      </c>
      <c r="B282" s="240" t="str">
        <f t="shared" si="1"/>
        <v>lun.</v>
      </c>
      <c r="C282" s="231">
        <f>SUMPRODUCT((Entrées[Date]=A282)*IF(ISNUMBER(Entrées[Montant TTC]),Entrées[Montant TTC],0))</f>
        <v>0</v>
      </c>
      <c r="D282" s="232">
        <f>SUMPRODUCT((Prévisions[0]=A282)*IF(Prévisions[E / S]="Entrée",IF(ISNUMBER(Prévisions[Coût TTC]),Prévisions[Coût TTC],0),0))</f>
        <v>0</v>
      </c>
      <c r="E282" s="233">
        <f>SUMPRODUCT((Sorties[Date]=A282)*IF(ISNUMBER(Sorties[Coût TTC]),Sorties[Coût TTC],0))</f>
        <v>0</v>
      </c>
      <c r="F282" s="232">
        <f>SUMPRODUCT((Prévisions[0]=A282)*IF(Prévisions[E / S]="Sortie",IF(ISNUMBER(Prévisions[Coût TTC]),Prévisions[Coût TTC],0),0))</f>
        <v>0</v>
      </c>
      <c r="G282" s="234">
        <f t="shared" si="2"/>
        <v>0</v>
      </c>
      <c r="H282" s="235">
        <f t="shared" si="4"/>
        <v>-701.47</v>
      </c>
      <c r="I282" s="236" t="str">
        <f t="shared" si="3"/>
        <v>⛔  DÉCOUVERT</v>
      </c>
      <c r="J282" s="237">
        <v>278.0</v>
      </c>
      <c r="K282" s="238"/>
    </row>
    <row r="283" ht="18.75" customHeight="1">
      <c r="A283" s="229">
        <f>DATE(Tresorerie!$E$2,1,1)+J282</f>
        <v>46301</v>
      </c>
      <c r="B283" s="230" t="str">
        <f t="shared" si="1"/>
        <v>mar.</v>
      </c>
      <c r="C283" s="231">
        <f>SUMPRODUCT((Entrées[Date]=A283)*IF(ISNUMBER(Entrées[Montant TTC]),Entrées[Montant TTC],0))</f>
        <v>0</v>
      </c>
      <c r="D283" s="232">
        <f>SUMPRODUCT((Prévisions[0]=A283)*IF(Prévisions[E / S]="Entrée",IF(ISNUMBER(Prévisions[Coût TTC]),Prévisions[Coût TTC],0),0))</f>
        <v>0</v>
      </c>
      <c r="E283" s="233">
        <f>SUMPRODUCT((Sorties[Date]=A283)*IF(ISNUMBER(Sorties[Coût TTC]),Sorties[Coût TTC],0))</f>
        <v>0</v>
      </c>
      <c r="F283" s="232">
        <f>SUMPRODUCT((Prévisions[0]=A283)*IF(Prévisions[E / S]="Sortie",IF(ISNUMBER(Prévisions[Coût TTC]),Prévisions[Coût TTC],0),0))</f>
        <v>0</v>
      </c>
      <c r="G283" s="234">
        <f t="shared" si="2"/>
        <v>0</v>
      </c>
      <c r="H283" s="235">
        <f t="shared" si="4"/>
        <v>-701.47</v>
      </c>
      <c r="I283" s="236" t="str">
        <f t="shared" si="3"/>
        <v>⛔  DÉCOUVERT</v>
      </c>
      <c r="J283" s="237">
        <v>279.0</v>
      </c>
      <c r="K283" s="238"/>
    </row>
    <row r="284" ht="18.75" customHeight="1">
      <c r="A284" s="229">
        <f>DATE(Tresorerie!$E$2,1,1)+J283</f>
        <v>46302</v>
      </c>
      <c r="B284" s="230" t="str">
        <f t="shared" si="1"/>
        <v>mer.</v>
      </c>
      <c r="C284" s="231">
        <f>SUMPRODUCT((Entrées[Date]=A284)*IF(ISNUMBER(Entrées[Montant TTC]),Entrées[Montant TTC],0))</f>
        <v>0</v>
      </c>
      <c r="D284" s="232">
        <f>SUMPRODUCT((Prévisions[0]=A284)*IF(Prévisions[E / S]="Entrée",IF(ISNUMBER(Prévisions[Coût TTC]),Prévisions[Coût TTC],0),0))</f>
        <v>0</v>
      </c>
      <c r="E284" s="233">
        <f>SUMPRODUCT((Sorties[Date]=A284)*IF(ISNUMBER(Sorties[Coût TTC]),Sorties[Coût TTC],0))</f>
        <v>0</v>
      </c>
      <c r="F284" s="232">
        <f>SUMPRODUCT((Prévisions[0]=A284)*IF(Prévisions[E / S]="Sortie",IF(ISNUMBER(Prévisions[Coût TTC]),Prévisions[Coût TTC],0),0))</f>
        <v>0</v>
      </c>
      <c r="G284" s="234">
        <f t="shared" si="2"/>
        <v>0</v>
      </c>
      <c r="H284" s="235">
        <f t="shared" si="4"/>
        <v>-701.47</v>
      </c>
      <c r="I284" s="236" t="str">
        <f t="shared" si="3"/>
        <v>⛔  DÉCOUVERT</v>
      </c>
      <c r="J284" s="237">
        <v>280.0</v>
      </c>
      <c r="K284" s="238"/>
    </row>
    <row r="285" ht="18.75" customHeight="1">
      <c r="A285" s="229">
        <f>DATE(Tresorerie!$E$2,1,1)+J284</f>
        <v>46303</v>
      </c>
      <c r="B285" s="230" t="str">
        <f t="shared" si="1"/>
        <v>jeu.</v>
      </c>
      <c r="C285" s="231">
        <f>SUMPRODUCT((Entrées[Date]=A285)*IF(ISNUMBER(Entrées[Montant TTC]),Entrées[Montant TTC],0))</f>
        <v>0</v>
      </c>
      <c r="D285" s="232">
        <f>SUMPRODUCT((Prévisions[0]=A285)*IF(Prévisions[E / S]="Entrée",IF(ISNUMBER(Prévisions[Coût TTC]),Prévisions[Coût TTC],0),0))</f>
        <v>0</v>
      </c>
      <c r="E285" s="233">
        <f>SUMPRODUCT((Sorties[Date]=A285)*IF(ISNUMBER(Sorties[Coût TTC]),Sorties[Coût TTC],0))</f>
        <v>0</v>
      </c>
      <c r="F285" s="232">
        <f>SUMPRODUCT((Prévisions[0]=A285)*IF(Prévisions[E / S]="Sortie",IF(ISNUMBER(Prévisions[Coût TTC]),Prévisions[Coût TTC],0),0))</f>
        <v>0</v>
      </c>
      <c r="G285" s="234">
        <f t="shared" si="2"/>
        <v>0</v>
      </c>
      <c r="H285" s="235">
        <f t="shared" si="4"/>
        <v>-701.47</v>
      </c>
      <c r="I285" s="236" t="str">
        <f t="shared" si="3"/>
        <v>⛔  DÉCOUVERT</v>
      </c>
      <c r="J285" s="237">
        <v>281.0</v>
      </c>
      <c r="K285" s="238"/>
    </row>
    <row r="286" ht="18.75" customHeight="1">
      <c r="A286" s="229">
        <f>DATE(Tresorerie!$E$2,1,1)+J285</f>
        <v>46304</v>
      </c>
      <c r="B286" s="230" t="str">
        <f t="shared" si="1"/>
        <v>ven.</v>
      </c>
      <c r="C286" s="231">
        <f>SUMPRODUCT((Entrées[Date]=A286)*IF(ISNUMBER(Entrées[Montant TTC]),Entrées[Montant TTC],0))</f>
        <v>0</v>
      </c>
      <c r="D286" s="232">
        <f>SUMPRODUCT((Prévisions[0]=A286)*IF(Prévisions[E / S]="Entrée",IF(ISNUMBER(Prévisions[Coût TTC]),Prévisions[Coût TTC],0),0))</f>
        <v>0</v>
      </c>
      <c r="E286" s="233">
        <f>SUMPRODUCT((Sorties[Date]=A286)*IF(ISNUMBER(Sorties[Coût TTC]),Sorties[Coût TTC],0))</f>
        <v>0</v>
      </c>
      <c r="F286" s="232">
        <f>SUMPRODUCT((Prévisions[0]=A286)*IF(Prévisions[E / S]="Sortie",IF(ISNUMBER(Prévisions[Coût TTC]),Prévisions[Coût TTC],0),0))</f>
        <v>0</v>
      </c>
      <c r="G286" s="234">
        <f t="shared" si="2"/>
        <v>0</v>
      </c>
      <c r="H286" s="235">
        <f t="shared" si="4"/>
        <v>-701.47</v>
      </c>
      <c r="I286" s="236" t="str">
        <f t="shared" si="3"/>
        <v>⛔  DÉCOUVERT</v>
      </c>
      <c r="J286" s="237">
        <v>282.0</v>
      </c>
      <c r="K286" s="238"/>
    </row>
    <row r="287" ht="18.75" customHeight="1">
      <c r="A287" s="229">
        <f>DATE(Tresorerie!$E$2,1,1)+J286</f>
        <v>46305</v>
      </c>
      <c r="B287" s="239" t="str">
        <f t="shared" si="1"/>
        <v>sam.</v>
      </c>
      <c r="C287" s="231">
        <f>SUMPRODUCT((Entrées[Date]=A287)*IF(ISNUMBER(Entrées[Montant TTC]),Entrées[Montant TTC],0))</f>
        <v>0</v>
      </c>
      <c r="D287" s="232">
        <f>SUMPRODUCT((Prévisions[0]=A287)*IF(Prévisions[E / S]="Entrée",IF(ISNUMBER(Prévisions[Coût TTC]),Prévisions[Coût TTC],0),0))</f>
        <v>0</v>
      </c>
      <c r="E287" s="233">
        <f>SUMPRODUCT((Sorties[Date]=A287)*IF(ISNUMBER(Sorties[Coût TTC]),Sorties[Coût TTC],0))</f>
        <v>0</v>
      </c>
      <c r="F287" s="232">
        <f>SUMPRODUCT((Prévisions[0]=A287)*IF(Prévisions[E / S]="Sortie",IF(ISNUMBER(Prévisions[Coût TTC]),Prévisions[Coût TTC],0),0))</f>
        <v>0</v>
      </c>
      <c r="G287" s="234">
        <f t="shared" si="2"/>
        <v>0</v>
      </c>
      <c r="H287" s="235">
        <f t="shared" si="4"/>
        <v>-701.47</v>
      </c>
      <c r="I287" s="236" t="str">
        <f t="shared" si="3"/>
        <v>⛔  DÉCOUVERT</v>
      </c>
      <c r="J287" s="237">
        <v>283.0</v>
      </c>
      <c r="K287" s="238"/>
    </row>
    <row r="288" ht="18.75" customHeight="1">
      <c r="A288" s="229">
        <f>DATE(Tresorerie!$E$2,1,1)+J287</f>
        <v>46306</v>
      </c>
      <c r="B288" s="239" t="str">
        <f t="shared" si="1"/>
        <v>dim.</v>
      </c>
      <c r="C288" s="231">
        <f>SUMPRODUCT((Entrées[Date]=A288)*IF(ISNUMBER(Entrées[Montant TTC]),Entrées[Montant TTC],0))</f>
        <v>0</v>
      </c>
      <c r="D288" s="232">
        <f>SUMPRODUCT((Prévisions[0]=A288)*IF(Prévisions[E / S]="Entrée",IF(ISNUMBER(Prévisions[Coût TTC]),Prévisions[Coût TTC],0),0))</f>
        <v>0</v>
      </c>
      <c r="E288" s="233">
        <f>SUMPRODUCT((Sorties[Date]=A288)*IF(ISNUMBER(Sorties[Coût TTC]),Sorties[Coût TTC],0))</f>
        <v>0</v>
      </c>
      <c r="F288" s="232">
        <f>SUMPRODUCT((Prévisions[0]=A288)*IF(Prévisions[E / S]="Sortie",IF(ISNUMBER(Prévisions[Coût TTC]),Prévisions[Coût TTC],0),0))</f>
        <v>0</v>
      </c>
      <c r="G288" s="234">
        <f t="shared" si="2"/>
        <v>0</v>
      </c>
      <c r="H288" s="235">
        <f t="shared" si="4"/>
        <v>-701.47</v>
      </c>
      <c r="I288" s="236" t="str">
        <f t="shared" si="3"/>
        <v>⛔  DÉCOUVERT</v>
      </c>
      <c r="J288" s="237">
        <v>284.0</v>
      </c>
      <c r="K288" s="238"/>
    </row>
    <row r="289" ht="18.75" customHeight="1">
      <c r="A289" s="229">
        <f>DATE(Tresorerie!$E$2,1,1)+J288</f>
        <v>46307</v>
      </c>
      <c r="B289" s="240" t="str">
        <f t="shared" si="1"/>
        <v>lun.</v>
      </c>
      <c r="C289" s="231">
        <f>SUMPRODUCT((Entrées[Date]=A289)*IF(ISNUMBER(Entrées[Montant TTC]),Entrées[Montant TTC],0))</f>
        <v>0</v>
      </c>
      <c r="D289" s="232">
        <f>SUMPRODUCT((Prévisions[0]=A289)*IF(Prévisions[E / S]="Entrée",IF(ISNUMBER(Prévisions[Coût TTC]),Prévisions[Coût TTC],0),0))</f>
        <v>0</v>
      </c>
      <c r="E289" s="233">
        <f>SUMPRODUCT((Sorties[Date]=A289)*IF(ISNUMBER(Sorties[Coût TTC]),Sorties[Coût TTC],0))</f>
        <v>0</v>
      </c>
      <c r="F289" s="232">
        <f>SUMPRODUCT((Prévisions[0]=A289)*IF(Prévisions[E / S]="Sortie",IF(ISNUMBER(Prévisions[Coût TTC]),Prévisions[Coût TTC],0),0))</f>
        <v>0</v>
      </c>
      <c r="G289" s="234">
        <f t="shared" si="2"/>
        <v>0</v>
      </c>
      <c r="H289" s="235">
        <f t="shared" si="4"/>
        <v>-701.47</v>
      </c>
      <c r="I289" s="236" t="str">
        <f t="shared" si="3"/>
        <v>⛔  DÉCOUVERT</v>
      </c>
      <c r="J289" s="237">
        <v>285.0</v>
      </c>
      <c r="K289" s="238"/>
    </row>
    <row r="290" ht="18.75" customHeight="1">
      <c r="A290" s="229">
        <f>DATE(Tresorerie!$E$2,1,1)+J289</f>
        <v>46308</v>
      </c>
      <c r="B290" s="230" t="str">
        <f t="shared" si="1"/>
        <v>mar.</v>
      </c>
      <c r="C290" s="231">
        <f>SUMPRODUCT((Entrées[Date]=A290)*IF(ISNUMBER(Entrées[Montant TTC]),Entrées[Montant TTC],0))</f>
        <v>0</v>
      </c>
      <c r="D290" s="232">
        <f>SUMPRODUCT((Prévisions[0]=A290)*IF(Prévisions[E / S]="Entrée",IF(ISNUMBER(Prévisions[Coût TTC]),Prévisions[Coût TTC],0),0))</f>
        <v>0</v>
      </c>
      <c r="E290" s="233">
        <f>SUMPRODUCT((Sorties[Date]=A290)*IF(ISNUMBER(Sorties[Coût TTC]),Sorties[Coût TTC],0))</f>
        <v>0</v>
      </c>
      <c r="F290" s="232">
        <f>SUMPRODUCT((Prévisions[0]=A290)*IF(Prévisions[E / S]="Sortie",IF(ISNUMBER(Prévisions[Coût TTC]),Prévisions[Coût TTC],0),0))</f>
        <v>0</v>
      </c>
      <c r="G290" s="234">
        <f t="shared" si="2"/>
        <v>0</v>
      </c>
      <c r="H290" s="235">
        <f t="shared" si="4"/>
        <v>-701.47</v>
      </c>
      <c r="I290" s="236" t="str">
        <f t="shared" si="3"/>
        <v>⛔  DÉCOUVERT</v>
      </c>
      <c r="J290" s="237">
        <v>286.0</v>
      </c>
      <c r="K290" s="238"/>
    </row>
    <row r="291" ht="18.75" customHeight="1">
      <c r="A291" s="229">
        <f>DATE(Tresorerie!$E$2,1,1)+J290</f>
        <v>46309</v>
      </c>
      <c r="B291" s="230" t="str">
        <f t="shared" si="1"/>
        <v>mer.</v>
      </c>
      <c r="C291" s="231">
        <f>SUMPRODUCT((Entrées[Date]=A291)*IF(ISNUMBER(Entrées[Montant TTC]),Entrées[Montant TTC],0))</f>
        <v>0</v>
      </c>
      <c r="D291" s="232">
        <f>SUMPRODUCT((Prévisions[0]=A291)*IF(Prévisions[E / S]="Entrée",IF(ISNUMBER(Prévisions[Coût TTC]),Prévisions[Coût TTC],0),0))</f>
        <v>0</v>
      </c>
      <c r="E291" s="233">
        <f>SUMPRODUCT((Sorties[Date]=A291)*IF(ISNUMBER(Sorties[Coût TTC]),Sorties[Coût TTC],0))</f>
        <v>0</v>
      </c>
      <c r="F291" s="232">
        <f>SUMPRODUCT((Prévisions[0]=A291)*IF(Prévisions[E / S]="Sortie",IF(ISNUMBER(Prévisions[Coût TTC]),Prévisions[Coût TTC],0),0))</f>
        <v>0</v>
      </c>
      <c r="G291" s="234">
        <f t="shared" si="2"/>
        <v>0</v>
      </c>
      <c r="H291" s="235">
        <f t="shared" si="4"/>
        <v>-701.47</v>
      </c>
      <c r="I291" s="236" t="str">
        <f t="shared" si="3"/>
        <v>⛔  DÉCOUVERT</v>
      </c>
      <c r="J291" s="237">
        <v>287.0</v>
      </c>
      <c r="K291" s="238"/>
    </row>
    <row r="292" ht="18.75" customHeight="1">
      <c r="A292" s="229">
        <f>DATE(Tresorerie!$E$2,1,1)+J291</f>
        <v>46310</v>
      </c>
      <c r="B292" s="230" t="str">
        <f t="shared" si="1"/>
        <v>jeu.</v>
      </c>
      <c r="C292" s="231">
        <f>SUMPRODUCT((Entrées[Date]=A292)*IF(ISNUMBER(Entrées[Montant TTC]),Entrées[Montant TTC],0))</f>
        <v>0</v>
      </c>
      <c r="D292" s="232">
        <f>SUMPRODUCT((Prévisions[0]=A292)*IF(Prévisions[E / S]="Entrée",IF(ISNUMBER(Prévisions[Coût TTC]),Prévisions[Coût TTC],0),0))</f>
        <v>0</v>
      </c>
      <c r="E292" s="233">
        <f>SUMPRODUCT((Sorties[Date]=A292)*IF(ISNUMBER(Sorties[Coût TTC]),Sorties[Coût TTC],0))</f>
        <v>0</v>
      </c>
      <c r="F292" s="232">
        <f>SUMPRODUCT((Prévisions[0]=A292)*IF(Prévisions[E / S]="Sortie",IF(ISNUMBER(Prévisions[Coût TTC]),Prévisions[Coût TTC],0),0))</f>
        <v>302.99</v>
      </c>
      <c r="G292" s="234">
        <f t="shared" si="2"/>
        <v>-302.99</v>
      </c>
      <c r="H292" s="235">
        <f t="shared" si="4"/>
        <v>-1004.46</v>
      </c>
      <c r="I292" s="236" t="str">
        <f t="shared" si="3"/>
        <v>⛔  DÉCOUVERT</v>
      </c>
      <c r="J292" s="237">
        <v>288.0</v>
      </c>
      <c r="K292" s="238"/>
    </row>
    <row r="293" ht="18.75" customHeight="1">
      <c r="A293" s="229">
        <f>DATE(Tresorerie!$E$2,1,1)+J292</f>
        <v>46311</v>
      </c>
      <c r="B293" s="230" t="str">
        <f t="shared" si="1"/>
        <v>ven.</v>
      </c>
      <c r="C293" s="231">
        <f>SUMPRODUCT((Entrées[Date]=A293)*IF(ISNUMBER(Entrées[Montant TTC]),Entrées[Montant TTC],0))</f>
        <v>0</v>
      </c>
      <c r="D293" s="232">
        <f>SUMPRODUCT((Prévisions[0]=A293)*IF(Prévisions[E / S]="Entrée",IF(ISNUMBER(Prévisions[Coût TTC]),Prévisions[Coût TTC],0),0))</f>
        <v>0</v>
      </c>
      <c r="E293" s="233">
        <f>SUMPRODUCT((Sorties[Date]=A293)*IF(ISNUMBER(Sorties[Coût TTC]),Sorties[Coût TTC],0))</f>
        <v>0</v>
      </c>
      <c r="F293" s="232">
        <f>SUMPRODUCT((Prévisions[0]=A293)*IF(Prévisions[E / S]="Sortie",IF(ISNUMBER(Prévisions[Coût TTC]),Prévisions[Coût TTC],0),0))</f>
        <v>0</v>
      </c>
      <c r="G293" s="234">
        <f t="shared" si="2"/>
        <v>0</v>
      </c>
      <c r="H293" s="235">
        <f t="shared" si="4"/>
        <v>-1004.46</v>
      </c>
      <c r="I293" s="236" t="str">
        <f t="shared" si="3"/>
        <v>⛔  DÉCOUVERT</v>
      </c>
      <c r="J293" s="237">
        <v>289.0</v>
      </c>
      <c r="K293" s="238"/>
    </row>
    <row r="294" ht="18.75" customHeight="1">
      <c r="A294" s="229">
        <f>DATE(Tresorerie!$E$2,1,1)+J293</f>
        <v>46312</v>
      </c>
      <c r="B294" s="239" t="str">
        <f t="shared" si="1"/>
        <v>sam.</v>
      </c>
      <c r="C294" s="231">
        <f>SUMPRODUCT((Entrées[Date]=A294)*IF(ISNUMBER(Entrées[Montant TTC]),Entrées[Montant TTC],0))</f>
        <v>0</v>
      </c>
      <c r="D294" s="232">
        <f>SUMPRODUCT((Prévisions[0]=A294)*IF(Prévisions[E / S]="Entrée",IF(ISNUMBER(Prévisions[Coût TTC]),Prévisions[Coût TTC],0),0))</f>
        <v>0</v>
      </c>
      <c r="E294" s="233">
        <f>SUMPRODUCT((Sorties[Date]=A294)*IF(ISNUMBER(Sorties[Coût TTC]),Sorties[Coût TTC],0))</f>
        <v>0</v>
      </c>
      <c r="F294" s="232">
        <f>SUMPRODUCT((Prévisions[0]=A294)*IF(Prévisions[E / S]="Sortie",IF(ISNUMBER(Prévisions[Coût TTC]),Prévisions[Coût TTC],0),0))</f>
        <v>0</v>
      </c>
      <c r="G294" s="234">
        <f t="shared" si="2"/>
        <v>0</v>
      </c>
      <c r="H294" s="235">
        <f t="shared" si="4"/>
        <v>-1004.46</v>
      </c>
      <c r="I294" s="236" t="str">
        <f t="shared" si="3"/>
        <v>⛔  DÉCOUVERT</v>
      </c>
      <c r="J294" s="237">
        <v>290.0</v>
      </c>
      <c r="K294" s="238"/>
    </row>
    <row r="295" ht="18.75" customHeight="1">
      <c r="A295" s="229">
        <f>DATE(Tresorerie!$E$2,1,1)+J294</f>
        <v>46313</v>
      </c>
      <c r="B295" s="239" t="str">
        <f t="shared" si="1"/>
        <v>dim.</v>
      </c>
      <c r="C295" s="231">
        <f>SUMPRODUCT((Entrées[Date]=A295)*IF(ISNUMBER(Entrées[Montant TTC]),Entrées[Montant TTC],0))</f>
        <v>0</v>
      </c>
      <c r="D295" s="232">
        <f>SUMPRODUCT((Prévisions[0]=A295)*IF(Prévisions[E / S]="Entrée",IF(ISNUMBER(Prévisions[Coût TTC]),Prévisions[Coût TTC],0),0))</f>
        <v>0</v>
      </c>
      <c r="E295" s="233">
        <f>SUMPRODUCT((Sorties[Date]=A295)*IF(ISNUMBER(Sorties[Coût TTC]),Sorties[Coût TTC],0))</f>
        <v>0</v>
      </c>
      <c r="F295" s="232">
        <f>SUMPRODUCT((Prévisions[0]=A295)*IF(Prévisions[E / S]="Sortie",IF(ISNUMBER(Prévisions[Coût TTC]),Prévisions[Coût TTC],0),0))</f>
        <v>0</v>
      </c>
      <c r="G295" s="234">
        <f t="shared" si="2"/>
        <v>0</v>
      </c>
      <c r="H295" s="235">
        <f t="shared" si="4"/>
        <v>-1004.46</v>
      </c>
      <c r="I295" s="236" t="str">
        <f t="shared" si="3"/>
        <v>⛔  DÉCOUVERT</v>
      </c>
      <c r="J295" s="237">
        <v>291.0</v>
      </c>
      <c r="K295" s="238"/>
    </row>
    <row r="296" ht="18.75" customHeight="1">
      <c r="A296" s="229">
        <f>DATE(Tresorerie!$E$2,1,1)+J295</f>
        <v>46314</v>
      </c>
      <c r="B296" s="240" t="str">
        <f t="shared" si="1"/>
        <v>lun.</v>
      </c>
      <c r="C296" s="231">
        <f>SUMPRODUCT((Entrées[Date]=A296)*IF(ISNUMBER(Entrées[Montant TTC]),Entrées[Montant TTC],0))</f>
        <v>0</v>
      </c>
      <c r="D296" s="232">
        <f>SUMPRODUCT((Prévisions[0]=A296)*IF(Prévisions[E / S]="Entrée",IF(ISNUMBER(Prévisions[Coût TTC]),Prévisions[Coût TTC],0),0))</f>
        <v>0</v>
      </c>
      <c r="E296" s="233">
        <f>SUMPRODUCT((Sorties[Date]=A296)*IF(ISNUMBER(Sorties[Coût TTC]),Sorties[Coût TTC],0))</f>
        <v>0</v>
      </c>
      <c r="F296" s="232">
        <f>SUMPRODUCT((Prévisions[0]=A296)*IF(Prévisions[E / S]="Sortie",IF(ISNUMBER(Prévisions[Coût TTC]),Prévisions[Coût TTC],0),0))</f>
        <v>0</v>
      </c>
      <c r="G296" s="234">
        <f t="shared" si="2"/>
        <v>0</v>
      </c>
      <c r="H296" s="235">
        <f t="shared" si="4"/>
        <v>-1004.46</v>
      </c>
      <c r="I296" s="236" t="str">
        <f t="shared" si="3"/>
        <v>⛔  DÉCOUVERT</v>
      </c>
      <c r="J296" s="237">
        <v>292.0</v>
      </c>
      <c r="K296" s="238"/>
    </row>
    <row r="297" ht="18.75" customHeight="1">
      <c r="A297" s="229">
        <f>DATE(Tresorerie!$E$2,1,1)+J296</f>
        <v>46315</v>
      </c>
      <c r="B297" s="230" t="str">
        <f t="shared" si="1"/>
        <v>mar.</v>
      </c>
      <c r="C297" s="231">
        <f>SUMPRODUCT((Entrées[Date]=A297)*IF(ISNUMBER(Entrées[Montant TTC]),Entrées[Montant TTC],0))</f>
        <v>0</v>
      </c>
      <c r="D297" s="232">
        <f>SUMPRODUCT((Prévisions[0]=A297)*IF(Prévisions[E / S]="Entrée",IF(ISNUMBER(Prévisions[Coût TTC]),Prévisions[Coût TTC],0),0))</f>
        <v>0</v>
      </c>
      <c r="E297" s="233">
        <f>SUMPRODUCT((Sorties[Date]=A297)*IF(ISNUMBER(Sorties[Coût TTC]),Sorties[Coût TTC],0))</f>
        <v>0</v>
      </c>
      <c r="F297" s="232">
        <f>SUMPRODUCT((Prévisions[0]=A297)*IF(Prévisions[E / S]="Sortie",IF(ISNUMBER(Prévisions[Coût TTC]),Prévisions[Coût TTC],0),0))</f>
        <v>0</v>
      </c>
      <c r="G297" s="234">
        <f t="shared" si="2"/>
        <v>0</v>
      </c>
      <c r="H297" s="235">
        <f t="shared" si="4"/>
        <v>-1004.46</v>
      </c>
      <c r="I297" s="236" t="str">
        <f t="shared" si="3"/>
        <v>⛔  DÉCOUVERT</v>
      </c>
      <c r="J297" s="237">
        <v>293.0</v>
      </c>
      <c r="K297" s="238"/>
    </row>
    <row r="298" ht="18.75" customHeight="1">
      <c r="A298" s="229">
        <f>DATE(Tresorerie!$E$2,1,1)+J297</f>
        <v>46316</v>
      </c>
      <c r="B298" s="230" t="str">
        <f t="shared" si="1"/>
        <v>mer.</v>
      </c>
      <c r="C298" s="231">
        <f>SUMPRODUCT((Entrées[Date]=A298)*IF(ISNUMBER(Entrées[Montant TTC]),Entrées[Montant TTC],0))</f>
        <v>0</v>
      </c>
      <c r="D298" s="232">
        <f>SUMPRODUCT((Prévisions[0]=A298)*IF(Prévisions[E / S]="Entrée",IF(ISNUMBER(Prévisions[Coût TTC]),Prévisions[Coût TTC],0),0))</f>
        <v>0</v>
      </c>
      <c r="E298" s="233">
        <f>SUMPRODUCT((Sorties[Date]=A298)*IF(ISNUMBER(Sorties[Coût TTC]),Sorties[Coût TTC],0))</f>
        <v>0</v>
      </c>
      <c r="F298" s="232">
        <f>SUMPRODUCT((Prévisions[0]=A298)*IF(Prévisions[E / S]="Sortie",IF(ISNUMBER(Prévisions[Coût TTC]),Prévisions[Coût TTC],0),0))</f>
        <v>0</v>
      </c>
      <c r="G298" s="234">
        <f t="shared" si="2"/>
        <v>0</v>
      </c>
      <c r="H298" s="235">
        <f t="shared" si="4"/>
        <v>-1004.46</v>
      </c>
      <c r="I298" s="236" t="str">
        <f t="shared" si="3"/>
        <v>⛔  DÉCOUVERT</v>
      </c>
      <c r="J298" s="237">
        <v>294.0</v>
      </c>
      <c r="K298" s="238"/>
    </row>
    <row r="299" ht="18.75" customHeight="1">
      <c r="A299" s="229">
        <f>DATE(Tresorerie!$E$2,1,1)+J298</f>
        <v>46317</v>
      </c>
      <c r="B299" s="230" t="str">
        <f t="shared" si="1"/>
        <v>jeu.</v>
      </c>
      <c r="C299" s="231">
        <f>SUMPRODUCT((Entrées[Date]=A299)*IF(ISNUMBER(Entrées[Montant TTC]),Entrées[Montant TTC],0))</f>
        <v>0</v>
      </c>
      <c r="D299" s="232">
        <f>SUMPRODUCT((Prévisions[0]=A299)*IF(Prévisions[E / S]="Entrée",IF(ISNUMBER(Prévisions[Coût TTC]),Prévisions[Coût TTC],0),0))</f>
        <v>0</v>
      </c>
      <c r="E299" s="233">
        <f>SUMPRODUCT((Sorties[Date]=A299)*IF(ISNUMBER(Sorties[Coût TTC]),Sorties[Coût TTC],0))</f>
        <v>0</v>
      </c>
      <c r="F299" s="232">
        <f>SUMPRODUCT((Prévisions[0]=A299)*IF(Prévisions[E / S]="Sortie",IF(ISNUMBER(Prévisions[Coût TTC]),Prévisions[Coût TTC],0),0))</f>
        <v>0</v>
      </c>
      <c r="G299" s="234">
        <f t="shared" si="2"/>
        <v>0</v>
      </c>
      <c r="H299" s="235">
        <f t="shared" si="4"/>
        <v>-1004.46</v>
      </c>
      <c r="I299" s="236" t="str">
        <f t="shared" si="3"/>
        <v>⛔  DÉCOUVERT</v>
      </c>
      <c r="J299" s="237">
        <v>295.0</v>
      </c>
      <c r="K299" s="238"/>
    </row>
    <row r="300" ht="18.75" customHeight="1">
      <c r="A300" s="229">
        <f>DATE(Tresorerie!$E$2,1,1)+J299</f>
        <v>46318</v>
      </c>
      <c r="B300" s="230" t="str">
        <f t="shared" si="1"/>
        <v>ven.</v>
      </c>
      <c r="C300" s="231">
        <f>SUMPRODUCT((Entrées[Date]=A300)*IF(ISNUMBER(Entrées[Montant TTC]),Entrées[Montant TTC],0))</f>
        <v>0</v>
      </c>
      <c r="D300" s="232">
        <f>SUMPRODUCT((Prévisions[0]=A300)*IF(Prévisions[E / S]="Entrée",IF(ISNUMBER(Prévisions[Coût TTC]),Prévisions[Coût TTC],0),0))</f>
        <v>0</v>
      </c>
      <c r="E300" s="233">
        <f>SUMPRODUCT((Sorties[Date]=A300)*IF(ISNUMBER(Sorties[Coût TTC]),Sorties[Coût TTC],0))</f>
        <v>0</v>
      </c>
      <c r="F300" s="232">
        <f>SUMPRODUCT((Prévisions[0]=A300)*IF(Prévisions[E / S]="Sortie",IF(ISNUMBER(Prévisions[Coût TTC]),Prévisions[Coût TTC],0),0))</f>
        <v>0</v>
      </c>
      <c r="G300" s="234">
        <f t="shared" si="2"/>
        <v>0</v>
      </c>
      <c r="H300" s="235">
        <f t="shared" si="4"/>
        <v>-1004.46</v>
      </c>
      <c r="I300" s="236" t="str">
        <f t="shared" si="3"/>
        <v>⛔  DÉCOUVERT</v>
      </c>
      <c r="J300" s="237">
        <v>296.0</v>
      </c>
      <c r="K300" s="238"/>
    </row>
    <row r="301" ht="18.75" customHeight="1">
      <c r="A301" s="229">
        <f>DATE(Tresorerie!$E$2,1,1)+J300</f>
        <v>46319</v>
      </c>
      <c r="B301" s="239" t="str">
        <f t="shared" si="1"/>
        <v>sam.</v>
      </c>
      <c r="C301" s="231">
        <f>SUMPRODUCT((Entrées[Date]=A301)*IF(ISNUMBER(Entrées[Montant TTC]),Entrées[Montant TTC],0))</f>
        <v>0</v>
      </c>
      <c r="D301" s="232">
        <f>SUMPRODUCT((Prévisions[0]=A301)*IF(Prévisions[E / S]="Entrée",IF(ISNUMBER(Prévisions[Coût TTC]),Prévisions[Coût TTC],0),0))</f>
        <v>0</v>
      </c>
      <c r="E301" s="233">
        <f>SUMPRODUCT((Sorties[Date]=A301)*IF(ISNUMBER(Sorties[Coût TTC]),Sorties[Coût TTC],0))</f>
        <v>0</v>
      </c>
      <c r="F301" s="232">
        <f>SUMPRODUCT((Prévisions[0]=A301)*IF(Prévisions[E / S]="Sortie",IF(ISNUMBER(Prévisions[Coût TTC]),Prévisions[Coût TTC],0),0))</f>
        <v>0</v>
      </c>
      <c r="G301" s="234">
        <f t="shared" si="2"/>
        <v>0</v>
      </c>
      <c r="H301" s="235">
        <f t="shared" si="4"/>
        <v>-1004.46</v>
      </c>
      <c r="I301" s="236" t="str">
        <f t="shared" si="3"/>
        <v>⛔  DÉCOUVERT</v>
      </c>
      <c r="J301" s="237">
        <v>297.0</v>
      </c>
      <c r="K301" s="238"/>
    </row>
    <row r="302" ht="18.75" customHeight="1">
      <c r="A302" s="229">
        <f>DATE(Tresorerie!$E$2,1,1)+J301</f>
        <v>46320</v>
      </c>
      <c r="B302" s="239" t="str">
        <f t="shared" si="1"/>
        <v>dim.</v>
      </c>
      <c r="C302" s="231">
        <f>SUMPRODUCT((Entrées[Date]=A302)*IF(ISNUMBER(Entrées[Montant TTC]),Entrées[Montant TTC],0))</f>
        <v>0</v>
      </c>
      <c r="D302" s="232">
        <f>SUMPRODUCT((Prévisions[0]=A302)*IF(Prévisions[E / S]="Entrée",IF(ISNUMBER(Prévisions[Coût TTC]),Prévisions[Coût TTC],0),0))</f>
        <v>0</v>
      </c>
      <c r="E302" s="233">
        <f>SUMPRODUCT((Sorties[Date]=A302)*IF(ISNUMBER(Sorties[Coût TTC]),Sorties[Coût TTC],0))</f>
        <v>0</v>
      </c>
      <c r="F302" s="232">
        <f>SUMPRODUCT((Prévisions[0]=A302)*IF(Prévisions[E / S]="Sortie",IF(ISNUMBER(Prévisions[Coût TTC]),Prévisions[Coût TTC],0),0))</f>
        <v>0</v>
      </c>
      <c r="G302" s="234">
        <f t="shared" si="2"/>
        <v>0</v>
      </c>
      <c r="H302" s="235">
        <f t="shared" si="4"/>
        <v>-1004.46</v>
      </c>
      <c r="I302" s="236" t="str">
        <f t="shared" si="3"/>
        <v>⛔  DÉCOUVERT</v>
      </c>
      <c r="J302" s="237">
        <v>298.0</v>
      </c>
      <c r="K302" s="238"/>
    </row>
    <row r="303" ht="18.75" customHeight="1">
      <c r="A303" s="229">
        <f>DATE(Tresorerie!$E$2,1,1)+J302</f>
        <v>46321</v>
      </c>
      <c r="B303" s="240" t="str">
        <f t="shared" si="1"/>
        <v>lun.</v>
      </c>
      <c r="C303" s="231">
        <f>SUMPRODUCT((Entrées[Date]=A303)*IF(ISNUMBER(Entrées[Montant TTC]),Entrées[Montant TTC],0))</f>
        <v>0</v>
      </c>
      <c r="D303" s="232">
        <f>SUMPRODUCT((Prévisions[0]=A303)*IF(Prévisions[E / S]="Entrée",IF(ISNUMBER(Prévisions[Coût TTC]),Prévisions[Coût TTC],0),0))</f>
        <v>0</v>
      </c>
      <c r="E303" s="233">
        <f>SUMPRODUCT((Sorties[Date]=A303)*IF(ISNUMBER(Sorties[Coût TTC]),Sorties[Coût TTC],0))</f>
        <v>0</v>
      </c>
      <c r="F303" s="232">
        <f>SUMPRODUCT((Prévisions[0]=A303)*IF(Prévisions[E / S]="Sortie",IF(ISNUMBER(Prévisions[Coût TTC]),Prévisions[Coût TTC],0),0))</f>
        <v>0</v>
      </c>
      <c r="G303" s="234">
        <f t="shared" si="2"/>
        <v>0</v>
      </c>
      <c r="H303" s="235">
        <f t="shared" si="4"/>
        <v>-1004.46</v>
      </c>
      <c r="I303" s="236" t="str">
        <f t="shared" si="3"/>
        <v>⛔  DÉCOUVERT</v>
      </c>
      <c r="J303" s="237">
        <v>299.0</v>
      </c>
      <c r="K303" s="238"/>
    </row>
    <row r="304" ht="18.75" customHeight="1">
      <c r="A304" s="229">
        <f>DATE(Tresorerie!$E$2,1,1)+J303</f>
        <v>46322</v>
      </c>
      <c r="B304" s="230" t="str">
        <f t="shared" si="1"/>
        <v>mar.</v>
      </c>
      <c r="C304" s="231">
        <f>SUMPRODUCT((Entrées[Date]=A304)*IF(ISNUMBER(Entrées[Montant TTC]),Entrées[Montant TTC],0))</f>
        <v>0</v>
      </c>
      <c r="D304" s="232">
        <f>SUMPRODUCT((Prévisions[0]=A304)*IF(Prévisions[E / S]="Entrée",IF(ISNUMBER(Prévisions[Coût TTC]),Prévisions[Coût TTC],0),0))</f>
        <v>0</v>
      </c>
      <c r="E304" s="233">
        <f>SUMPRODUCT((Sorties[Date]=A304)*IF(ISNUMBER(Sorties[Coût TTC]),Sorties[Coût TTC],0))</f>
        <v>0</v>
      </c>
      <c r="F304" s="232">
        <f>SUMPRODUCT((Prévisions[0]=A304)*IF(Prévisions[E / S]="Sortie",IF(ISNUMBER(Prévisions[Coût TTC]),Prévisions[Coût TTC],0),0))</f>
        <v>0</v>
      </c>
      <c r="G304" s="234">
        <f t="shared" si="2"/>
        <v>0</v>
      </c>
      <c r="H304" s="235">
        <f t="shared" si="4"/>
        <v>-1004.46</v>
      </c>
      <c r="I304" s="236" t="str">
        <f t="shared" si="3"/>
        <v>⛔  DÉCOUVERT</v>
      </c>
      <c r="J304" s="237">
        <v>300.0</v>
      </c>
      <c r="K304" s="238"/>
    </row>
    <row r="305" ht="18.75" customHeight="1">
      <c r="A305" s="229">
        <f>DATE(Tresorerie!$E$2,1,1)+J304</f>
        <v>46323</v>
      </c>
      <c r="B305" s="230" t="str">
        <f t="shared" si="1"/>
        <v>mer.</v>
      </c>
      <c r="C305" s="231">
        <f>SUMPRODUCT((Entrées[Date]=A305)*IF(ISNUMBER(Entrées[Montant TTC]),Entrées[Montant TTC],0))</f>
        <v>0</v>
      </c>
      <c r="D305" s="232">
        <f>SUMPRODUCT((Prévisions[0]=A305)*IF(Prévisions[E / S]="Entrée",IF(ISNUMBER(Prévisions[Coût TTC]),Prévisions[Coût TTC],0),0))</f>
        <v>0</v>
      </c>
      <c r="E305" s="233">
        <f>SUMPRODUCT((Sorties[Date]=A305)*IF(ISNUMBER(Sorties[Coût TTC]),Sorties[Coût TTC],0))</f>
        <v>0</v>
      </c>
      <c r="F305" s="232">
        <f>SUMPRODUCT((Prévisions[0]=A305)*IF(Prévisions[E / S]="Sortie",IF(ISNUMBER(Prévisions[Coût TTC]),Prévisions[Coût TTC],0),0))</f>
        <v>0</v>
      </c>
      <c r="G305" s="234">
        <f t="shared" si="2"/>
        <v>0</v>
      </c>
      <c r="H305" s="235">
        <f t="shared" si="4"/>
        <v>-1004.46</v>
      </c>
      <c r="I305" s="236" t="str">
        <f t="shared" si="3"/>
        <v>⛔  DÉCOUVERT</v>
      </c>
      <c r="J305" s="237">
        <v>301.0</v>
      </c>
      <c r="K305" s="238"/>
    </row>
    <row r="306" ht="18.75" customHeight="1">
      <c r="A306" s="229">
        <f>DATE(Tresorerie!$E$2,1,1)+J305</f>
        <v>46324</v>
      </c>
      <c r="B306" s="230" t="str">
        <f t="shared" si="1"/>
        <v>jeu.</v>
      </c>
      <c r="C306" s="231">
        <f>SUMPRODUCT((Entrées[Date]=A306)*IF(ISNUMBER(Entrées[Montant TTC]),Entrées[Montant TTC],0))</f>
        <v>0</v>
      </c>
      <c r="D306" s="232">
        <f>SUMPRODUCT((Prévisions[0]=A306)*IF(Prévisions[E / S]="Entrée",IF(ISNUMBER(Prévisions[Coût TTC]),Prévisions[Coût TTC],0),0))</f>
        <v>0</v>
      </c>
      <c r="E306" s="233">
        <f>SUMPRODUCT((Sorties[Date]=A306)*IF(ISNUMBER(Sorties[Coût TTC]),Sorties[Coût TTC],0))</f>
        <v>0</v>
      </c>
      <c r="F306" s="232">
        <f>SUMPRODUCT((Prévisions[0]=A306)*IF(Prévisions[E / S]="Sortie",IF(ISNUMBER(Prévisions[Coût TTC]),Prévisions[Coût TTC],0),0))</f>
        <v>0</v>
      </c>
      <c r="G306" s="234">
        <f t="shared" si="2"/>
        <v>0</v>
      </c>
      <c r="H306" s="235">
        <f t="shared" si="4"/>
        <v>-1004.46</v>
      </c>
      <c r="I306" s="236" t="str">
        <f t="shared" si="3"/>
        <v>⛔  DÉCOUVERT</v>
      </c>
      <c r="J306" s="237">
        <v>302.0</v>
      </c>
      <c r="K306" s="238"/>
    </row>
    <row r="307" ht="18.75" customHeight="1">
      <c r="A307" s="229">
        <f>DATE(Tresorerie!$E$2,1,1)+J306</f>
        <v>46325</v>
      </c>
      <c r="B307" s="230" t="str">
        <f t="shared" si="1"/>
        <v>ven.</v>
      </c>
      <c r="C307" s="231">
        <f>SUMPRODUCT((Entrées[Date]=A307)*IF(ISNUMBER(Entrées[Montant TTC]),Entrées[Montant TTC],0))</f>
        <v>0</v>
      </c>
      <c r="D307" s="232">
        <f>SUMPRODUCT((Prévisions[0]=A307)*IF(Prévisions[E / S]="Entrée",IF(ISNUMBER(Prévisions[Coût TTC]),Prévisions[Coût TTC],0),0))</f>
        <v>0</v>
      </c>
      <c r="E307" s="233">
        <f>SUMPRODUCT((Sorties[Date]=A307)*IF(ISNUMBER(Sorties[Coût TTC]),Sorties[Coût TTC],0))</f>
        <v>0</v>
      </c>
      <c r="F307" s="232">
        <f>SUMPRODUCT((Prévisions[0]=A307)*IF(Prévisions[E / S]="Sortie",IF(ISNUMBER(Prévisions[Coût TTC]),Prévisions[Coût TTC],0),0))</f>
        <v>0</v>
      </c>
      <c r="G307" s="234">
        <f t="shared" si="2"/>
        <v>0</v>
      </c>
      <c r="H307" s="235">
        <f t="shared" si="4"/>
        <v>-1004.46</v>
      </c>
      <c r="I307" s="236" t="str">
        <f t="shared" si="3"/>
        <v>⛔  DÉCOUVERT</v>
      </c>
      <c r="J307" s="237">
        <v>303.0</v>
      </c>
      <c r="K307" s="238"/>
    </row>
    <row r="308" ht="18.75" customHeight="1">
      <c r="A308" s="229">
        <f>DATE(Tresorerie!$E$2,1,1)+J307</f>
        <v>46326</v>
      </c>
      <c r="B308" s="239" t="str">
        <f t="shared" si="1"/>
        <v>sam.</v>
      </c>
      <c r="C308" s="231">
        <f>SUMPRODUCT((Entrées[Date]=A308)*IF(ISNUMBER(Entrées[Montant TTC]),Entrées[Montant TTC],0))</f>
        <v>0</v>
      </c>
      <c r="D308" s="232">
        <f>SUMPRODUCT((Prévisions[0]=A308)*IF(Prévisions[E / S]="Entrée",IF(ISNUMBER(Prévisions[Coût TTC]),Prévisions[Coût TTC],0),0))</f>
        <v>0</v>
      </c>
      <c r="E308" s="233">
        <f>SUMPRODUCT((Sorties[Date]=A308)*IF(ISNUMBER(Sorties[Coût TTC]),Sorties[Coût TTC],0))</f>
        <v>0</v>
      </c>
      <c r="F308" s="232">
        <f>SUMPRODUCT((Prévisions[0]=A308)*IF(Prévisions[E / S]="Sortie",IF(ISNUMBER(Prévisions[Coût TTC]),Prévisions[Coût TTC],0),0))</f>
        <v>400</v>
      </c>
      <c r="G308" s="234">
        <f t="shared" si="2"/>
        <v>-400</v>
      </c>
      <c r="H308" s="235">
        <f t="shared" si="4"/>
        <v>-1404.46</v>
      </c>
      <c r="I308" s="236" t="str">
        <f t="shared" si="3"/>
        <v>⛔  DÉCOUVERT</v>
      </c>
      <c r="J308" s="237">
        <v>304.0</v>
      </c>
      <c r="K308" s="238"/>
    </row>
    <row r="309" ht="18.75" customHeight="1">
      <c r="A309" s="229">
        <f>DATE(Tresorerie!$E$2,1,1)+J308</f>
        <v>46327</v>
      </c>
      <c r="B309" s="239" t="str">
        <f t="shared" si="1"/>
        <v>dim.</v>
      </c>
      <c r="C309" s="231">
        <f>SUMPRODUCT((Entrées[Date]=A309)*IF(ISNUMBER(Entrées[Montant TTC]),Entrées[Montant TTC],0))</f>
        <v>0</v>
      </c>
      <c r="D309" s="232">
        <f>SUMPRODUCT((Prévisions[0]=A309)*IF(Prévisions[E / S]="Entrée",IF(ISNUMBER(Prévisions[Coût TTC]),Prévisions[Coût TTC],0),0))</f>
        <v>0</v>
      </c>
      <c r="E309" s="233">
        <f>SUMPRODUCT((Sorties[Date]=A309)*IF(ISNUMBER(Sorties[Coût TTC]),Sorties[Coût TTC],0))</f>
        <v>0</v>
      </c>
      <c r="F309" s="232">
        <f>SUMPRODUCT((Prévisions[0]=A309)*IF(Prévisions[E / S]="Sortie",IF(ISNUMBER(Prévisions[Coût TTC]),Prévisions[Coût TTC],0),0))</f>
        <v>0</v>
      </c>
      <c r="G309" s="234">
        <f t="shared" si="2"/>
        <v>0</v>
      </c>
      <c r="H309" s="235">
        <f t="shared" si="4"/>
        <v>-1404.46</v>
      </c>
      <c r="I309" s="236" t="str">
        <f t="shared" si="3"/>
        <v>⛔  DÉCOUVERT</v>
      </c>
      <c r="J309" s="237">
        <v>305.0</v>
      </c>
      <c r="K309" s="238"/>
    </row>
    <row r="310" ht="18.75" customHeight="1">
      <c r="A310" s="229">
        <f>DATE(Tresorerie!$E$2,1,1)+J309</f>
        <v>46328</v>
      </c>
      <c r="B310" s="240" t="str">
        <f t="shared" si="1"/>
        <v>lun.</v>
      </c>
      <c r="C310" s="231">
        <f>SUMPRODUCT((Entrées[Date]=A310)*IF(ISNUMBER(Entrées[Montant TTC]),Entrées[Montant TTC],0))</f>
        <v>0</v>
      </c>
      <c r="D310" s="232">
        <f>SUMPRODUCT((Prévisions[0]=A310)*IF(Prévisions[E / S]="Entrée",IF(ISNUMBER(Prévisions[Coût TTC]),Prévisions[Coût TTC],0),0))</f>
        <v>0</v>
      </c>
      <c r="E310" s="233">
        <f>SUMPRODUCT((Sorties[Date]=A310)*IF(ISNUMBER(Sorties[Coût TTC]),Sorties[Coût TTC],0))</f>
        <v>0</v>
      </c>
      <c r="F310" s="232">
        <f>SUMPRODUCT((Prévisions[0]=A310)*IF(Prévisions[E / S]="Sortie",IF(ISNUMBER(Prévisions[Coût TTC]),Prévisions[Coût TTC],0),0))</f>
        <v>1500</v>
      </c>
      <c r="G310" s="234">
        <f t="shared" si="2"/>
        <v>-1500</v>
      </c>
      <c r="H310" s="235">
        <f t="shared" si="4"/>
        <v>-2904.46</v>
      </c>
      <c r="I310" s="236" t="str">
        <f t="shared" si="3"/>
        <v>⛔  DÉCOUVERT</v>
      </c>
      <c r="J310" s="237">
        <v>306.0</v>
      </c>
      <c r="K310" s="238"/>
    </row>
    <row r="311" ht="18.75" customHeight="1">
      <c r="A311" s="229">
        <f>DATE(Tresorerie!$E$2,1,1)+J310</f>
        <v>46329</v>
      </c>
      <c r="B311" s="230" t="str">
        <f t="shared" si="1"/>
        <v>mar.</v>
      </c>
      <c r="C311" s="231">
        <f>SUMPRODUCT((Entrées[Date]=A311)*IF(ISNUMBER(Entrées[Montant TTC]),Entrées[Montant TTC],0))</f>
        <v>0</v>
      </c>
      <c r="D311" s="232">
        <f>SUMPRODUCT((Prévisions[0]=A311)*IF(Prévisions[E / S]="Entrée",IF(ISNUMBER(Prévisions[Coût TTC]),Prévisions[Coût TTC],0),0))</f>
        <v>0</v>
      </c>
      <c r="E311" s="233">
        <f>SUMPRODUCT((Sorties[Date]=A311)*IF(ISNUMBER(Sorties[Coût TTC]),Sorties[Coût TTC],0))</f>
        <v>0</v>
      </c>
      <c r="F311" s="232">
        <f>SUMPRODUCT((Prévisions[0]=A311)*IF(Prévisions[E / S]="Sortie",IF(ISNUMBER(Prévisions[Coût TTC]),Prévisions[Coût TTC],0),0))</f>
        <v>1250</v>
      </c>
      <c r="G311" s="234">
        <f t="shared" si="2"/>
        <v>-1250</v>
      </c>
      <c r="H311" s="235">
        <f t="shared" si="4"/>
        <v>-4154.46</v>
      </c>
      <c r="I311" s="236" t="str">
        <f t="shared" si="3"/>
        <v>⛔  DÉCOUVERT</v>
      </c>
      <c r="J311" s="237">
        <v>307.0</v>
      </c>
      <c r="K311" s="238"/>
    </row>
    <row r="312" ht="18.75" customHeight="1">
      <c r="A312" s="229">
        <f>DATE(Tresorerie!$E$2,1,1)+J311</f>
        <v>46330</v>
      </c>
      <c r="B312" s="230" t="str">
        <f t="shared" si="1"/>
        <v>mer.</v>
      </c>
      <c r="C312" s="231">
        <f>SUMPRODUCT((Entrées[Date]=A312)*IF(ISNUMBER(Entrées[Montant TTC]),Entrées[Montant TTC],0))</f>
        <v>0</v>
      </c>
      <c r="D312" s="232">
        <f>SUMPRODUCT((Prévisions[0]=A312)*IF(Prévisions[E / S]="Entrée",IF(ISNUMBER(Prévisions[Coût TTC]),Prévisions[Coût TTC],0),0))</f>
        <v>0</v>
      </c>
      <c r="E312" s="233">
        <f>SUMPRODUCT((Sorties[Date]=A312)*IF(ISNUMBER(Sorties[Coût TTC]),Sorties[Coût TTC],0))</f>
        <v>0</v>
      </c>
      <c r="F312" s="232">
        <f>SUMPRODUCT((Prévisions[0]=A312)*IF(Prévisions[E / S]="Sortie",IF(ISNUMBER(Prévisions[Coût TTC]),Prévisions[Coût TTC],0),0))</f>
        <v>0</v>
      </c>
      <c r="G312" s="234">
        <f t="shared" si="2"/>
        <v>0</v>
      </c>
      <c r="H312" s="235">
        <f t="shared" si="4"/>
        <v>-4154.46</v>
      </c>
      <c r="I312" s="236" t="str">
        <f t="shared" si="3"/>
        <v>⛔  DÉCOUVERT</v>
      </c>
      <c r="J312" s="237">
        <v>308.0</v>
      </c>
      <c r="K312" s="238"/>
    </row>
    <row r="313" ht="18.75" customHeight="1">
      <c r="A313" s="229">
        <f>DATE(Tresorerie!$E$2,1,1)+J312</f>
        <v>46331</v>
      </c>
      <c r="B313" s="230" t="str">
        <f t="shared" si="1"/>
        <v>jeu.</v>
      </c>
      <c r="C313" s="231">
        <f>SUMPRODUCT((Entrées[Date]=A313)*IF(ISNUMBER(Entrées[Montant TTC]),Entrées[Montant TTC],0))</f>
        <v>0</v>
      </c>
      <c r="D313" s="232">
        <f>SUMPRODUCT((Prévisions[0]=A313)*IF(Prévisions[E / S]="Entrée",IF(ISNUMBER(Prévisions[Coût TTC]),Prévisions[Coût TTC],0),0))</f>
        <v>0</v>
      </c>
      <c r="E313" s="233">
        <f>SUMPRODUCT((Sorties[Date]=A313)*IF(ISNUMBER(Sorties[Coût TTC]),Sorties[Coût TTC],0))</f>
        <v>0</v>
      </c>
      <c r="F313" s="232">
        <f>SUMPRODUCT((Prévisions[0]=A313)*IF(Prévisions[E / S]="Sortie",IF(ISNUMBER(Prévisions[Coût TTC]),Prévisions[Coût TTC],0),0))</f>
        <v>0</v>
      </c>
      <c r="G313" s="234">
        <f t="shared" si="2"/>
        <v>0</v>
      </c>
      <c r="H313" s="235">
        <f t="shared" si="4"/>
        <v>-4154.46</v>
      </c>
      <c r="I313" s="236" t="str">
        <f t="shared" si="3"/>
        <v>⛔  DÉCOUVERT</v>
      </c>
      <c r="J313" s="237">
        <v>309.0</v>
      </c>
      <c r="K313" s="238"/>
    </row>
    <row r="314" ht="18.75" customHeight="1">
      <c r="A314" s="229">
        <f>DATE(Tresorerie!$E$2,1,1)+J313</f>
        <v>46332</v>
      </c>
      <c r="B314" s="230" t="str">
        <f t="shared" si="1"/>
        <v>ven.</v>
      </c>
      <c r="C314" s="231">
        <f>SUMPRODUCT((Entrées[Date]=A314)*IF(ISNUMBER(Entrées[Montant TTC]),Entrées[Montant TTC],0))</f>
        <v>0</v>
      </c>
      <c r="D314" s="232">
        <f>SUMPRODUCT((Prévisions[0]=A314)*IF(Prévisions[E / S]="Entrée",IF(ISNUMBER(Prévisions[Coût TTC]),Prévisions[Coût TTC],0),0))</f>
        <v>0</v>
      </c>
      <c r="E314" s="233">
        <f>SUMPRODUCT((Sorties[Date]=A314)*IF(ISNUMBER(Sorties[Coût TTC]),Sorties[Coût TTC],0))</f>
        <v>0</v>
      </c>
      <c r="F314" s="232">
        <f>SUMPRODUCT((Prévisions[0]=A314)*IF(Prévisions[E / S]="Sortie",IF(ISNUMBER(Prévisions[Coût TTC]),Prévisions[Coût TTC],0),0))</f>
        <v>0</v>
      </c>
      <c r="G314" s="234">
        <f t="shared" si="2"/>
        <v>0</v>
      </c>
      <c r="H314" s="235">
        <f t="shared" si="4"/>
        <v>-4154.46</v>
      </c>
      <c r="I314" s="236" t="str">
        <f t="shared" si="3"/>
        <v>⛔  DÉCOUVERT</v>
      </c>
      <c r="J314" s="237">
        <v>310.0</v>
      </c>
      <c r="K314" s="238"/>
    </row>
    <row r="315" ht="18.75" customHeight="1">
      <c r="A315" s="229">
        <f>DATE(Tresorerie!$E$2,1,1)+J314</f>
        <v>46333</v>
      </c>
      <c r="B315" s="239" t="str">
        <f t="shared" si="1"/>
        <v>sam.</v>
      </c>
      <c r="C315" s="231">
        <f>SUMPRODUCT((Entrées[Date]=A315)*IF(ISNUMBER(Entrées[Montant TTC]),Entrées[Montant TTC],0))</f>
        <v>0</v>
      </c>
      <c r="D315" s="232">
        <f>SUMPRODUCT((Prévisions[0]=A315)*IF(Prévisions[E / S]="Entrée",IF(ISNUMBER(Prévisions[Coût TTC]),Prévisions[Coût TTC],0),0))</f>
        <v>0</v>
      </c>
      <c r="E315" s="233">
        <f>SUMPRODUCT((Sorties[Date]=A315)*IF(ISNUMBER(Sorties[Coût TTC]),Sorties[Coût TTC],0))</f>
        <v>0</v>
      </c>
      <c r="F315" s="232">
        <f>SUMPRODUCT((Prévisions[0]=A315)*IF(Prévisions[E / S]="Sortie",IF(ISNUMBER(Prévisions[Coût TTC]),Prévisions[Coût TTC],0),0))</f>
        <v>0</v>
      </c>
      <c r="G315" s="234">
        <f t="shared" si="2"/>
        <v>0</v>
      </c>
      <c r="H315" s="235">
        <f t="shared" si="4"/>
        <v>-4154.46</v>
      </c>
      <c r="I315" s="236" t="str">
        <f t="shared" si="3"/>
        <v>⛔  DÉCOUVERT</v>
      </c>
      <c r="J315" s="237">
        <v>311.0</v>
      </c>
      <c r="K315" s="238"/>
    </row>
    <row r="316" ht="18.75" customHeight="1">
      <c r="A316" s="229">
        <f>DATE(Tresorerie!$E$2,1,1)+J315</f>
        <v>46334</v>
      </c>
      <c r="B316" s="239" t="str">
        <f t="shared" si="1"/>
        <v>dim.</v>
      </c>
      <c r="C316" s="231">
        <f>SUMPRODUCT((Entrées[Date]=A316)*IF(ISNUMBER(Entrées[Montant TTC]),Entrées[Montant TTC],0))</f>
        <v>0</v>
      </c>
      <c r="D316" s="232">
        <f>SUMPRODUCT((Prévisions[0]=A316)*IF(Prévisions[E / S]="Entrée",IF(ISNUMBER(Prévisions[Coût TTC]),Prévisions[Coût TTC],0),0))</f>
        <v>0</v>
      </c>
      <c r="E316" s="233">
        <f>SUMPRODUCT((Sorties[Date]=A316)*IF(ISNUMBER(Sorties[Coût TTC]),Sorties[Coût TTC],0))</f>
        <v>0</v>
      </c>
      <c r="F316" s="232">
        <f>SUMPRODUCT((Prévisions[0]=A316)*IF(Prévisions[E / S]="Sortie",IF(ISNUMBER(Prévisions[Coût TTC]),Prévisions[Coût TTC],0),0))</f>
        <v>0</v>
      </c>
      <c r="G316" s="234">
        <f t="shared" si="2"/>
        <v>0</v>
      </c>
      <c r="H316" s="235">
        <f t="shared" si="4"/>
        <v>-4154.46</v>
      </c>
      <c r="I316" s="236" t="str">
        <f t="shared" si="3"/>
        <v>⛔  DÉCOUVERT</v>
      </c>
      <c r="J316" s="237">
        <v>312.0</v>
      </c>
      <c r="K316" s="238"/>
    </row>
    <row r="317" ht="18.75" customHeight="1">
      <c r="A317" s="229">
        <f>DATE(Tresorerie!$E$2,1,1)+J316</f>
        <v>46335</v>
      </c>
      <c r="B317" s="240" t="str">
        <f t="shared" si="1"/>
        <v>lun.</v>
      </c>
      <c r="C317" s="231">
        <f>SUMPRODUCT((Entrées[Date]=A317)*IF(ISNUMBER(Entrées[Montant TTC]),Entrées[Montant TTC],0))</f>
        <v>0</v>
      </c>
      <c r="D317" s="232">
        <f>SUMPRODUCT((Prévisions[0]=A317)*IF(Prévisions[E / S]="Entrée",IF(ISNUMBER(Prévisions[Coût TTC]),Prévisions[Coût TTC],0),0))</f>
        <v>0</v>
      </c>
      <c r="E317" s="233">
        <f>SUMPRODUCT((Sorties[Date]=A317)*IF(ISNUMBER(Sorties[Coût TTC]),Sorties[Coût TTC],0))</f>
        <v>0</v>
      </c>
      <c r="F317" s="232">
        <f>SUMPRODUCT((Prévisions[0]=A317)*IF(Prévisions[E / S]="Sortie",IF(ISNUMBER(Prévisions[Coût TTC]),Prévisions[Coût TTC],0),0))</f>
        <v>0</v>
      </c>
      <c r="G317" s="234">
        <f t="shared" si="2"/>
        <v>0</v>
      </c>
      <c r="H317" s="235">
        <f t="shared" si="4"/>
        <v>-4154.46</v>
      </c>
      <c r="I317" s="236" t="str">
        <f t="shared" si="3"/>
        <v>⛔  DÉCOUVERT</v>
      </c>
      <c r="J317" s="237">
        <v>313.0</v>
      </c>
      <c r="K317" s="238"/>
    </row>
    <row r="318" ht="18.75" customHeight="1">
      <c r="A318" s="229">
        <f>DATE(Tresorerie!$E$2,1,1)+J317</f>
        <v>46336</v>
      </c>
      <c r="B318" s="230" t="str">
        <f t="shared" si="1"/>
        <v>mar.</v>
      </c>
      <c r="C318" s="231">
        <f>SUMPRODUCT((Entrées[Date]=A318)*IF(ISNUMBER(Entrées[Montant TTC]),Entrées[Montant TTC],0))</f>
        <v>0</v>
      </c>
      <c r="D318" s="232">
        <f>SUMPRODUCT((Prévisions[0]=A318)*IF(Prévisions[E / S]="Entrée",IF(ISNUMBER(Prévisions[Coût TTC]),Prévisions[Coût TTC],0),0))</f>
        <v>0</v>
      </c>
      <c r="E318" s="233">
        <f>SUMPRODUCT((Sorties[Date]=A318)*IF(ISNUMBER(Sorties[Coût TTC]),Sorties[Coût TTC],0))</f>
        <v>0</v>
      </c>
      <c r="F318" s="232">
        <f>SUMPRODUCT((Prévisions[0]=A318)*IF(Prévisions[E / S]="Sortie",IF(ISNUMBER(Prévisions[Coût TTC]),Prévisions[Coût TTC],0),0))</f>
        <v>0</v>
      </c>
      <c r="G318" s="234">
        <f t="shared" si="2"/>
        <v>0</v>
      </c>
      <c r="H318" s="235">
        <f t="shared" si="4"/>
        <v>-4154.46</v>
      </c>
      <c r="I318" s="236" t="str">
        <f t="shared" si="3"/>
        <v>⛔  DÉCOUVERT</v>
      </c>
      <c r="J318" s="237">
        <v>314.0</v>
      </c>
      <c r="K318" s="238"/>
    </row>
    <row r="319" ht="18.75" customHeight="1">
      <c r="A319" s="229">
        <f>DATE(Tresorerie!$E$2,1,1)+J318</f>
        <v>46337</v>
      </c>
      <c r="B319" s="230" t="str">
        <f t="shared" si="1"/>
        <v>mer.</v>
      </c>
      <c r="C319" s="231">
        <f>SUMPRODUCT((Entrées[Date]=A319)*IF(ISNUMBER(Entrées[Montant TTC]),Entrées[Montant TTC],0))</f>
        <v>0</v>
      </c>
      <c r="D319" s="232">
        <f>SUMPRODUCT((Prévisions[0]=A319)*IF(Prévisions[E / S]="Entrée",IF(ISNUMBER(Prévisions[Coût TTC]),Prévisions[Coût TTC],0),0))</f>
        <v>0</v>
      </c>
      <c r="E319" s="233">
        <f>SUMPRODUCT((Sorties[Date]=A319)*IF(ISNUMBER(Sorties[Coût TTC]),Sorties[Coût TTC],0))</f>
        <v>0</v>
      </c>
      <c r="F319" s="232">
        <f>SUMPRODUCT((Prévisions[0]=A319)*IF(Prévisions[E / S]="Sortie",IF(ISNUMBER(Prévisions[Coût TTC]),Prévisions[Coût TTC],0),0))</f>
        <v>0</v>
      </c>
      <c r="G319" s="234">
        <f t="shared" si="2"/>
        <v>0</v>
      </c>
      <c r="H319" s="235">
        <f t="shared" si="4"/>
        <v>-4154.46</v>
      </c>
      <c r="I319" s="236" t="str">
        <f t="shared" si="3"/>
        <v>⛔  DÉCOUVERT</v>
      </c>
      <c r="J319" s="237">
        <v>315.0</v>
      </c>
      <c r="K319" s="238"/>
    </row>
    <row r="320" ht="18.75" customHeight="1">
      <c r="A320" s="229">
        <f>DATE(Tresorerie!$E$2,1,1)+J319</f>
        <v>46338</v>
      </c>
      <c r="B320" s="230" t="str">
        <f t="shared" si="1"/>
        <v>jeu.</v>
      </c>
      <c r="C320" s="231">
        <f>SUMPRODUCT((Entrées[Date]=A320)*IF(ISNUMBER(Entrées[Montant TTC]),Entrées[Montant TTC],0))</f>
        <v>0</v>
      </c>
      <c r="D320" s="232">
        <f>SUMPRODUCT((Prévisions[0]=A320)*IF(Prévisions[E / S]="Entrée",IF(ISNUMBER(Prévisions[Coût TTC]),Prévisions[Coût TTC],0),0))</f>
        <v>0</v>
      </c>
      <c r="E320" s="233">
        <f>SUMPRODUCT((Sorties[Date]=A320)*IF(ISNUMBER(Sorties[Coût TTC]),Sorties[Coût TTC],0))</f>
        <v>0</v>
      </c>
      <c r="F320" s="232">
        <f>SUMPRODUCT((Prévisions[0]=A320)*IF(Prévisions[E / S]="Sortie",IF(ISNUMBER(Prévisions[Coût TTC]),Prévisions[Coût TTC],0),0))</f>
        <v>0</v>
      </c>
      <c r="G320" s="234">
        <f t="shared" si="2"/>
        <v>0</v>
      </c>
      <c r="H320" s="235">
        <f t="shared" si="4"/>
        <v>-4154.46</v>
      </c>
      <c r="I320" s="236" t="str">
        <f t="shared" si="3"/>
        <v>⛔  DÉCOUVERT</v>
      </c>
      <c r="J320" s="237">
        <v>316.0</v>
      </c>
      <c r="K320" s="238"/>
    </row>
    <row r="321" ht="18.75" customHeight="1">
      <c r="A321" s="229">
        <f>DATE(Tresorerie!$E$2,1,1)+J320</f>
        <v>46339</v>
      </c>
      <c r="B321" s="230" t="str">
        <f t="shared" si="1"/>
        <v>ven.</v>
      </c>
      <c r="C321" s="231">
        <f>SUMPRODUCT((Entrées[Date]=A321)*IF(ISNUMBER(Entrées[Montant TTC]),Entrées[Montant TTC],0))</f>
        <v>0</v>
      </c>
      <c r="D321" s="232">
        <f>SUMPRODUCT((Prévisions[0]=A321)*IF(Prévisions[E / S]="Entrée",IF(ISNUMBER(Prévisions[Coût TTC]),Prévisions[Coût TTC],0),0))</f>
        <v>0</v>
      </c>
      <c r="E321" s="233">
        <f>SUMPRODUCT((Sorties[Date]=A321)*IF(ISNUMBER(Sorties[Coût TTC]),Sorties[Coût TTC],0))</f>
        <v>0</v>
      </c>
      <c r="F321" s="232">
        <f>SUMPRODUCT((Prévisions[0]=A321)*IF(Prévisions[E / S]="Sortie",IF(ISNUMBER(Prévisions[Coût TTC]),Prévisions[Coût TTC],0),0))</f>
        <v>0</v>
      </c>
      <c r="G321" s="234">
        <f t="shared" si="2"/>
        <v>0</v>
      </c>
      <c r="H321" s="235">
        <f t="shared" si="4"/>
        <v>-4154.46</v>
      </c>
      <c r="I321" s="236" t="str">
        <f t="shared" si="3"/>
        <v>⛔  DÉCOUVERT</v>
      </c>
      <c r="J321" s="237">
        <v>317.0</v>
      </c>
      <c r="K321" s="238"/>
    </row>
    <row r="322" ht="18.75" customHeight="1">
      <c r="A322" s="229">
        <f>DATE(Tresorerie!$E$2,1,1)+J321</f>
        <v>46340</v>
      </c>
      <c r="B322" s="239" t="str">
        <f t="shared" si="1"/>
        <v>sam.</v>
      </c>
      <c r="C322" s="231">
        <f>SUMPRODUCT((Entrées[Date]=A322)*IF(ISNUMBER(Entrées[Montant TTC]),Entrées[Montant TTC],0))</f>
        <v>0</v>
      </c>
      <c r="D322" s="232">
        <f>SUMPRODUCT((Prévisions[0]=A322)*IF(Prévisions[E / S]="Entrée",IF(ISNUMBER(Prévisions[Coût TTC]),Prévisions[Coût TTC],0),0))</f>
        <v>0</v>
      </c>
      <c r="E322" s="233">
        <f>SUMPRODUCT((Sorties[Date]=A322)*IF(ISNUMBER(Sorties[Coût TTC]),Sorties[Coût TTC],0))</f>
        <v>0</v>
      </c>
      <c r="F322" s="232">
        <f>SUMPRODUCT((Prévisions[0]=A322)*IF(Prévisions[E / S]="Sortie",IF(ISNUMBER(Prévisions[Coût TTC]),Prévisions[Coût TTC],0),0))</f>
        <v>0</v>
      </c>
      <c r="G322" s="234">
        <f t="shared" si="2"/>
        <v>0</v>
      </c>
      <c r="H322" s="235">
        <f t="shared" si="4"/>
        <v>-4154.46</v>
      </c>
      <c r="I322" s="236" t="str">
        <f t="shared" si="3"/>
        <v>⛔  DÉCOUVERT</v>
      </c>
      <c r="J322" s="237">
        <v>318.0</v>
      </c>
      <c r="K322" s="238"/>
    </row>
    <row r="323" ht="18.75" customHeight="1">
      <c r="A323" s="229">
        <f>DATE(Tresorerie!$E$2,1,1)+J322</f>
        <v>46341</v>
      </c>
      <c r="B323" s="239" t="str">
        <f t="shared" si="1"/>
        <v>dim.</v>
      </c>
      <c r="C323" s="231">
        <f>SUMPRODUCT((Entrées[Date]=A323)*IF(ISNUMBER(Entrées[Montant TTC]),Entrées[Montant TTC],0))</f>
        <v>0</v>
      </c>
      <c r="D323" s="232">
        <f>SUMPRODUCT((Prévisions[0]=A323)*IF(Prévisions[E / S]="Entrée",IF(ISNUMBER(Prévisions[Coût TTC]),Prévisions[Coût TTC],0),0))</f>
        <v>0</v>
      </c>
      <c r="E323" s="233">
        <f>SUMPRODUCT((Sorties[Date]=A323)*IF(ISNUMBER(Sorties[Coût TTC]),Sorties[Coût TTC],0))</f>
        <v>0</v>
      </c>
      <c r="F323" s="232">
        <f>SUMPRODUCT((Prévisions[0]=A323)*IF(Prévisions[E / S]="Sortie",IF(ISNUMBER(Prévisions[Coût TTC]),Prévisions[Coût TTC],0),0))</f>
        <v>302.99</v>
      </c>
      <c r="G323" s="234">
        <f t="shared" si="2"/>
        <v>-302.99</v>
      </c>
      <c r="H323" s="235">
        <f t="shared" si="4"/>
        <v>-4457.45</v>
      </c>
      <c r="I323" s="236" t="str">
        <f t="shared" si="3"/>
        <v>⛔  DÉCOUVERT</v>
      </c>
      <c r="J323" s="237">
        <v>319.0</v>
      </c>
      <c r="K323" s="238"/>
    </row>
    <row r="324" ht="18.75" customHeight="1">
      <c r="A324" s="229">
        <f>DATE(Tresorerie!$E$2,1,1)+J323</f>
        <v>46342</v>
      </c>
      <c r="B324" s="240" t="str">
        <f t="shared" si="1"/>
        <v>lun.</v>
      </c>
      <c r="C324" s="231">
        <f>SUMPRODUCT((Entrées[Date]=A324)*IF(ISNUMBER(Entrées[Montant TTC]),Entrées[Montant TTC],0))</f>
        <v>0</v>
      </c>
      <c r="D324" s="232">
        <f>SUMPRODUCT((Prévisions[0]=A324)*IF(Prévisions[E / S]="Entrée",IF(ISNUMBER(Prévisions[Coût TTC]),Prévisions[Coût TTC],0),0))</f>
        <v>0</v>
      </c>
      <c r="E324" s="233">
        <f>SUMPRODUCT((Sorties[Date]=A324)*IF(ISNUMBER(Sorties[Coût TTC]),Sorties[Coût TTC],0))</f>
        <v>0</v>
      </c>
      <c r="F324" s="232">
        <f>SUMPRODUCT((Prévisions[0]=A324)*IF(Prévisions[E / S]="Sortie",IF(ISNUMBER(Prévisions[Coût TTC]),Prévisions[Coût TTC],0),0))</f>
        <v>800</v>
      </c>
      <c r="G324" s="234">
        <f t="shared" si="2"/>
        <v>-800</v>
      </c>
      <c r="H324" s="235">
        <f t="shared" si="4"/>
        <v>-5257.45</v>
      </c>
      <c r="I324" s="236" t="str">
        <f t="shared" si="3"/>
        <v>⛔  DÉCOUVERT</v>
      </c>
      <c r="J324" s="237">
        <v>320.0</v>
      </c>
      <c r="K324" s="238"/>
    </row>
    <row r="325" ht="18.75" customHeight="1">
      <c r="A325" s="229">
        <f>DATE(Tresorerie!$E$2,1,1)+J324</f>
        <v>46343</v>
      </c>
      <c r="B325" s="230" t="str">
        <f t="shared" si="1"/>
        <v>mar.</v>
      </c>
      <c r="C325" s="231">
        <f>SUMPRODUCT((Entrées[Date]=A325)*IF(ISNUMBER(Entrées[Montant TTC]),Entrées[Montant TTC],0))</f>
        <v>0</v>
      </c>
      <c r="D325" s="232">
        <f>SUMPRODUCT((Prévisions[0]=A325)*IF(Prévisions[E / S]="Entrée",IF(ISNUMBER(Prévisions[Coût TTC]),Prévisions[Coût TTC],0),0))</f>
        <v>0</v>
      </c>
      <c r="E325" s="233">
        <f>SUMPRODUCT((Sorties[Date]=A325)*IF(ISNUMBER(Sorties[Coût TTC]),Sorties[Coût TTC],0))</f>
        <v>0</v>
      </c>
      <c r="F325" s="232">
        <f>SUMPRODUCT((Prévisions[0]=A325)*IF(Prévisions[E / S]="Sortie",IF(ISNUMBER(Prévisions[Coût TTC]),Prévisions[Coût TTC],0),0))</f>
        <v>0</v>
      </c>
      <c r="G325" s="234">
        <f t="shared" si="2"/>
        <v>0</v>
      </c>
      <c r="H325" s="235">
        <f t="shared" si="4"/>
        <v>-5257.45</v>
      </c>
      <c r="I325" s="236" t="str">
        <f t="shared" si="3"/>
        <v>⛔  DÉCOUVERT</v>
      </c>
      <c r="J325" s="237">
        <v>321.0</v>
      </c>
      <c r="K325" s="238"/>
    </row>
    <row r="326" ht="18.75" customHeight="1">
      <c r="A326" s="229">
        <f>DATE(Tresorerie!$E$2,1,1)+J325</f>
        <v>46344</v>
      </c>
      <c r="B326" s="230" t="str">
        <f t="shared" si="1"/>
        <v>mer.</v>
      </c>
      <c r="C326" s="231">
        <f>SUMPRODUCT((Entrées[Date]=A326)*IF(ISNUMBER(Entrées[Montant TTC]),Entrées[Montant TTC],0))</f>
        <v>0</v>
      </c>
      <c r="D326" s="232">
        <f>SUMPRODUCT((Prévisions[0]=A326)*IF(Prévisions[E / S]="Entrée",IF(ISNUMBER(Prévisions[Coût TTC]),Prévisions[Coût TTC],0),0))</f>
        <v>0</v>
      </c>
      <c r="E326" s="233">
        <f>SUMPRODUCT((Sorties[Date]=A326)*IF(ISNUMBER(Sorties[Coût TTC]),Sorties[Coût TTC],0))</f>
        <v>0</v>
      </c>
      <c r="F326" s="232">
        <f>SUMPRODUCT((Prévisions[0]=A326)*IF(Prévisions[E / S]="Sortie",IF(ISNUMBER(Prévisions[Coût TTC]),Prévisions[Coût TTC],0),0))</f>
        <v>0</v>
      </c>
      <c r="G326" s="234">
        <f t="shared" si="2"/>
        <v>0</v>
      </c>
      <c r="H326" s="235">
        <f t="shared" si="4"/>
        <v>-5257.45</v>
      </c>
      <c r="I326" s="236" t="str">
        <f t="shared" si="3"/>
        <v>⛔  DÉCOUVERT</v>
      </c>
      <c r="J326" s="237">
        <v>322.0</v>
      </c>
      <c r="K326" s="238"/>
    </row>
    <row r="327" ht="18.75" customHeight="1">
      <c r="A327" s="229">
        <f>DATE(Tresorerie!$E$2,1,1)+J326</f>
        <v>46345</v>
      </c>
      <c r="B327" s="230" t="str">
        <f t="shared" si="1"/>
        <v>jeu.</v>
      </c>
      <c r="C327" s="231">
        <f>SUMPRODUCT((Entrées[Date]=A327)*IF(ISNUMBER(Entrées[Montant TTC]),Entrées[Montant TTC],0))</f>
        <v>0</v>
      </c>
      <c r="D327" s="232">
        <f>SUMPRODUCT((Prévisions[0]=A327)*IF(Prévisions[E / S]="Entrée",IF(ISNUMBER(Prévisions[Coût TTC]),Prévisions[Coût TTC],0),0))</f>
        <v>0</v>
      </c>
      <c r="E327" s="233">
        <f>SUMPRODUCT((Sorties[Date]=A327)*IF(ISNUMBER(Sorties[Coût TTC]),Sorties[Coût TTC],0))</f>
        <v>0</v>
      </c>
      <c r="F327" s="232">
        <f>SUMPRODUCT((Prévisions[0]=A327)*IF(Prévisions[E / S]="Sortie",IF(ISNUMBER(Prévisions[Coût TTC]),Prévisions[Coût TTC],0),0))</f>
        <v>0</v>
      </c>
      <c r="G327" s="234">
        <f t="shared" si="2"/>
        <v>0</v>
      </c>
      <c r="H327" s="235">
        <f t="shared" si="4"/>
        <v>-5257.45</v>
      </c>
      <c r="I327" s="236" t="str">
        <f t="shared" si="3"/>
        <v>⛔  DÉCOUVERT</v>
      </c>
      <c r="J327" s="237">
        <v>323.0</v>
      </c>
      <c r="K327" s="238"/>
    </row>
    <row r="328" ht="18.75" customHeight="1">
      <c r="A328" s="229">
        <f>DATE(Tresorerie!$E$2,1,1)+J327</f>
        <v>46346</v>
      </c>
      <c r="B328" s="230" t="str">
        <f t="shared" si="1"/>
        <v>ven.</v>
      </c>
      <c r="C328" s="231">
        <f>SUMPRODUCT((Entrées[Date]=A328)*IF(ISNUMBER(Entrées[Montant TTC]),Entrées[Montant TTC],0))</f>
        <v>0</v>
      </c>
      <c r="D328" s="232">
        <f>SUMPRODUCT((Prévisions[0]=A328)*IF(Prévisions[E / S]="Entrée",IF(ISNUMBER(Prévisions[Coût TTC]),Prévisions[Coût TTC],0),0))</f>
        <v>0</v>
      </c>
      <c r="E328" s="233">
        <f>SUMPRODUCT((Sorties[Date]=A328)*IF(ISNUMBER(Sorties[Coût TTC]),Sorties[Coût TTC],0))</f>
        <v>0</v>
      </c>
      <c r="F328" s="232">
        <f>SUMPRODUCT((Prévisions[0]=A328)*IF(Prévisions[E / S]="Sortie",IF(ISNUMBER(Prévisions[Coût TTC]),Prévisions[Coût TTC],0),0))</f>
        <v>0</v>
      </c>
      <c r="G328" s="234">
        <f t="shared" si="2"/>
        <v>0</v>
      </c>
      <c r="H328" s="235">
        <f t="shared" si="4"/>
        <v>-5257.45</v>
      </c>
      <c r="I328" s="236" t="str">
        <f t="shared" si="3"/>
        <v>⛔  DÉCOUVERT</v>
      </c>
      <c r="J328" s="237">
        <v>324.0</v>
      </c>
      <c r="K328" s="238"/>
    </row>
    <row r="329" ht="18.75" customHeight="1">
      <c r="A329" s="229">
        <f>DATE(Tresorerie!$E$2,1,1)+J328</f>
        <v>46347</v>
      </c>
      <c r="B329" s="239" t="str">
        <f t="shared" si="1"/>
        <v>sam.</v>
      </c>
      <c r="C329" s="231">
        <f>SUMPRODUCT((Entrées[Date]=A329)*IF(ISNUMBER(Entrées[Montant TTC]),Entrées[Montant TTC],0))</f>
        <v>0</v>
      </c>
      <c r="D329" s="232">
        <f>SUMPRODUCT((Prévisions[0]=A329)*IF(Prévisions[E / S]="Entrée",IF(ISNUMBER(Prévisions[Coût TTC]),Prévisions[Coût TTC],0),0))</f>
        <v>0</v>
      </c>
      <c r="E329" s="233">
        <f>SUMPRODUCT((Sorties[Date]=A329)*IF(ISNUMBER(Sorties[Coût TTC]),Sorties[Coût TTC],0))</f>
        <v>0</v>
      </c>
      <c r="F329" s="232">
        <f>SUMPRODUCT((Prévisions[0]=A329)*IF(Prévisions[E / S]="Sortie",IF(ISNUMBER(Prévisions[Coût TTC]),Prévisions[Coût TTC],0),0))</f>
        <v>0</v>
      </c>
      <c r="G329" s="234">
        <f t="shared" si="2"/>
        <v>0</v>
      </c>
      <c r="H329" s="235">
        <f t="shared" si="4"/>
        <v>-5257.45</v>
      </c>
      <c r="I329" s="236" t="str">
        <f t="shared" si="3"/>
        <v>⛔  DÉCOUVERT</v>
      </c>
      <c r="J329" s="237">
        <v>325.0</v>
      </c>
      <c r="K329" s="238"/>
    </row>
    <row r="330" ht="18.75" customHeight="1">
      <c r="A330" s="229">
        <f>DATE(Tresorerie!$E$2,1,1)+J329</f>
        <v>46348</v>
      </c>
      <c r="B330" s="239" t="str">
        <f t="shared" si="1"/>
        <v>dim.</v>
      </c>
      <c r="C330" s="231">
        <f>SUMPRODUCT((Entrées[Date]=A330)*IF(ISNUMBER(Entrées[Montant TTC]),Entrées[Montant TTC],0))</f>
        <v>0</v>
      </c>
      <c r="D330" s="232">
        <f>SUMPRODUCT((Prévisions[0]=A330)*IF(Prévisions[E / S]="Entrée",IF(ISNUMBER(Prévisions[Coût TTC]),Prévisions[Coût TTC],0),0))</f>
        <v>0</v>
      </c>
      <c r="E330" s="233">
        <f>SUMPRODUCT((Sorties[Date]=A330)*IF(ISNUMBER(Sorties[Coût TTC]),Sorties[Coût TTC],0))</f>
        <v>0</v>
      </c>
      <c r="F330" s="232">
        <f>SUMPRODUCT((Prévisions[0]=A330)*IF(Prévisions[E / S]="Sortie",IF(ISNUMBER(Prévisions[Coût TTC]),Prévisions[Coût TTC],0),0))</f>
        <v>0</v>
      </c>
      <c r="G330" s="234">
        <f t="shared" si="2"/>
        <v>0</v>
      </c>
      <c r="H330" s="235">
        <f t="shared" si="4"/>
        <v>-5257.45</v>
      </c>
      <c r="I330" s="236" t="str">
        <f t="shared" si="3"/>
        <v>⛔  DÉCOUVERT</v>
      </c>
      <c r="J330" s="237">
        <v>326.0</v>
      </c>
      <c r="K330" s="238"/>
    </row>
    <row r="331" ht="18.75" customHeight="1">
      <c r="A331" s="229">
        <f>DATE(Tresorerie!$E$2,1,1)+J330</f>
        <v>46349</v>
      </c>
      <c r="B331" s="240" t="str">
        <f t="shared" si="1"/>
        <v>lun.</v>
      </c>
      <c r="C331" s="231">
        <f>SUMPRODUCT((Entrées[Date]=A331)*IF(ISNUMBER(Entrées[Montant TTC]),Entrées[Montant TTC],0))</f>
        <v>0</v>
      </c>
      <c r="D331" s="232">
        <f>SUMPRODUCT((Prévisions[0]=A331)*IF(Prévisions[E / S]="Entrée",IF(ISNUMBER(Prévisions[Coût TTC]),Prévisions[Coût TTC],0),0))</f>
        <v>0</v>
      </c>
      <c r="E331" s="233">
        <f>SUMPRODUCT((Sorties[Date]=A331)*IF(ISNUMBER(Sorties[Coût TTC]),Sorties[Coût TTC],0))</f>
        <v>0</v>
      </c>
      <c r="F331" s="232">
        <f>SUMPRODUCT((Prévisions[0]=A331)*IF(Prévisions[E / S]="Sortie",IF(ISNUMBER(Prévisions[Coût TTC]),Prévisions[Coût TTC],0),0))</f>
        <v>0</v>
      </c>
      <c r="G331" s="234">
        <f t="shared" si="2"/>
        <v>0</v>
      </c>
      <c r="H331" s="235">
        <f t="shared" si="4"/>
        <v>-5257.45</v>
      </c>
      <c r="I331" s="236" t="str">
        <f t="shared" si="3"/>
        <v>⛔  DÉCOUVERT</v>
      </c>
      <c r="J331" s="237">
        <v>327.0</v>
      </c>
      <c r="K331" s="238"/>
    </row>
    <row r="332" ht="18.75" customHeight="1">
      <c r="A332" s="229">
        <f>DATE(Tresorerie!$E$2,1,1)+J331</f>
        <v>46350</v>
      </c>
      <c r="B332" s="230" t="str">
        <f t="shared" si="1"/>
        <v>mar.</v>
      </c>
      <c r="C332" s="231">
        <f>SUMPRODUCT((Entrées[Date]=A332)*IF(ISNUMBER(Entrées[Montant TTC]),Entrées[Montant TTC],0))</f>
        <v>0</v>
      </c>
      <c r="D332" s="232">
        <f>SUMPRODUCT((Prévisions[0]=A332)*IF(Prévisions[E / S]="Entrée",IF(ISNUMBER(Prévisions[Coût TTC]),Prévisions[Coût TTC],0),0))</f>
        <v>0</v>
      </c>
      <c r="E332" s="233">
        <f>SUMPRODUCT((Sorties[Date]=A332)*IF(ISNUMBER(Sorties[Coût TTC]),Sorties[Coût TTC],0))</f>
        <v>0</v>
      </c>
      <c r="F332" s="232">
        <f>SUMPRODUCT((Prévisions[0]=A332)*IF(Prévisions[E / S]="Sortie",IF(ISNUMBER(Prévisions[Coût TTC]),Prévisions[Coût TTC],0),0))</f>
        <v>0</v>
      </c>
      <c r="G332" s="234">
        <f t="shared" si="2"/>
        <v>0</v>
      </c>
      <c r="H332" s="235">
        <f t="shared" si="4"/>
        <v>-5257.45</v>
      </c>
      <c r="I332" s="236" t="str">
        <f t="shared" si="3"/>
        <v>⛔  DÉCOUVERT</v>
      </c>
      <c r="J332" s="237">
        <v>328.0</v>
      </c>
      <c r="K332" s="238"/>
    </row>
    <row r="333" ht="18.75" customHeight="1">
      <c r="A333" s="229">
        <f>DATE(Tresorerie!$E$2,1,1)+J332</f>
        <v>46351</v>
      </c>
      <c r="B333" s="230" t="str">
        <f t="shared" si="1"/>
        <v>mer.</v>
      </c>
      <c r="C333" s="231">
        <f>SUMPRODUCT((Entrées[Date]=A333)*IF(ISNUMBER(Entrées[Montant TTC]),Entrées[Montant TTC],0))</f>
        <v>0</v>
      </c>
      <c r="D333" s="232">
        <f>SUMPRODUCT((Prévisions[0]=A333)*IF(Prévisions[E / S]="Entrée",IF(ISNUMBER(Prévisions[Coût TTC]),Prévisions[Coût TTC],0),0))</f>
        <v>0</v>
      </c>
      <c r="E333" s="233">
        <f>SUMPRODUCT((Sorties[Date]=A333)*IF(ISNUMBER(Sorties[Coût TTC]),Sorties[Coût TTC],0))</f>
        <v>0</v>
      </c>
      <c r="F333" s="232">
        <f>SUMPRODUCT((Prévisions[0]=A333)*IF(Prévisions[E / S]="Sortie",IF(ISNUMBER(Prévisions[Coût TTC]),Prévisions[Coût TTC],0),0))</f>
        <v>0</v>
      </c>
      <c r="G333" s="234">
        <f t="shared" si="2"/>
        <v>0</v>
      </c>
      <c r="H333" s="235">
        <f t="shared" si="4"/>
        <v>-5257.45</v>
      </c>
      <c r="I333" s="236" t="str">
        <f t="shared" si="3"/>
        <v>⛔  DÉCOUVERT</v>
      </c>
      <c r="J333" s="237">
        <v>329.0</v>
      </c>
      <c r="K333" s="238"/>
    </row>
    <row r="334" ht="18.75" customHeight="1">
      <c r="A334" s="229">
        <f>DATE(Tresorerie!$E$2,1,1)+J333</f>
        <v>46352</v>
      </c>
      <c r="B334" s="230" t="str">
        <f t="shared" si="1"/>
        <v>jeu.</v>
      </c>
      <c r="C334" s="231">
        <f>SUMPRODUCT((Entrées[Date]=A334)*IF(ISNUMBER(Entrées[Montant TTC]),Entrées[Montant TTC],0))</f>
        <v>0</v>
      </c>
      <c r="D334" s="232">
        <f>SUMPRODUCT((Prévisions[0]=A334)*IF(Prévisions[E / S]="Entrée",IF(ISNUMBER(Prévisions[Coût TTC]),Prévisions[Coût TTC],0),0))</f>
        <v>0</v>
      </c>
      <c r="E334" s="233">
        <f>SUMPRODUCT((Sorties[Date]=A334)*IF(ISNUMBER(Sorties[Coût TTC]),Sorties[Coût TTC],0))</f>
        <v>0</v>
      </c>
      <c r="F334" s="232">
        <f>SUMPRODUCT((Prévisions[0]=A334)*IF(Prévisions[E / S]="Sortie",IF(ISNUMBER(Prévisions[Coût TTC]),Prévisions[Coût TTC],0),0))</f>
        <v>0</v>
      </c>
      <c r="G334" s="234">
        <f t="shared" si="2"/>
        <v>0</v>
      </c>
      <c r="H334" s="235">
        <f t="shared" si="4"/>
        <v>-5257.45</v>
      </c>
      <c r="I334" s="236" t="str">
        <f t="shared" si="3"/>
        <v>⛔  DÉCOUVERT</v>
      </c>
      <c r="J334" s="237">
        <v>330.0</v>
      </c>
      <c r="K334" s="238"/>
    </row>
    <row r="335" ht="18.75" customHeight="1">
      <c r="A335" s="229">
        <f>DATE(Tresorerie!$E$2,1,1)+J334</f>
        <v>46353</v>
      </c>
      <c r="B335" s="230" t="str">
        <f t="shared" si="1"/>
        <v>ven.</v>
      </c>
      <c r="C335" s="231">
        <f>SUMPRODUCT((Entrées[Date]=A335)*IF(ISNUMBER(Entrées[Montant TTC]),Entrées[Montant TTC],0))</f>
        <v>0</v>
      </c>
      <c r="D335" s="232">
        <f>SUMPRODUCT((Prévisions[0]=A335)*IF(Prévisions[E / S]="Entrée",IF(ISNUMBER(Prévisions[Coût TTC]),Prévisions[Coût TTC],0),0))</f>
        <v>0</v>
      </c>
      <c r="E335" s="233">
        <f>SUMPRODUCT((Sorties[Date]=A335)*IF(ISNUMBER(Sorties[Coût TTC]),Sorties[Coût TTC],0))</f>
        <v>0</v>
      </c>
      <c r="F335" s="232">
        <f>SUMPRODUCT((Prévisions[0]=A335)*IF(Prévisions[E / S]="Sortie",IF(ISNUMBER(Prévisions[Coût TTC]),Prévisions[Coût TTC],0),0))</f>
        <v>0</v>
      </c>
      <c r="G335" s="234">
        <f t="shared" si="2"/>
        <v>0</v>
      </c>
      <c r="H335" s="235">
        <f t="shared" si="4"/>
        <v>-5257.45</v>
      </c>
      <c r="I335" s="236" t="str">
        <f t="shared" si="3"/>
        <v>⛔  DÉCOUVERT</v>
      </c>
      <c r="J335" s="237">
        <v>331.0</v>
      </c>
      <c r="K335" s="238"/>
    </row>
    <row r="336" ht="18.75" customHeight="1">
      <c r="A336" s="229">
        <f>DATE(Tresorerie!$E$2,1,1)+J335</f>
        <v>46354</v>
      </c>
      <c r="B336" s="239" t="str">
        <f t="shared" si="1"/>
        <v>sam.</v>
      </c>
      <c r="C336" s="231">
        <f>SUMPRODUCT((Entrées[Date]=A336)*IF(ISNUMBER(Entrées[Montant TTC]),Entrées[Montant TTC],0))</f>
        <v>0</v>
      </c>
      <c r="D336" s="232">
        <f>SUMPRODUCT((Prévisions[0]=A336)*IF(Prévisions[E / S]="Entrée",IF(ISNUMBER(Prévisions[Coût TTC]),Prévisions[Coût TTC],0),0))</f>
        <v>0</v>
      </c>
      <c r="E336" s="233">
        <f>SUMPRODUCT((Sorties[Date]=A336)*IF(ISNUMBER(Sorties[Coût TTC]),Sorties[Coût TTC],0))</f>
        <v>0</v>
      </c>
      <c r="F336" s="232">
        <f>SUMPRODUCT((Prévisions[0]=A336)*IF(Prévisions[E / S]="Sortie",IF(ISNUMBER(Prévisions[Coût TTC]),Prévisions[Coût TTC],0),0))</f>
        <v>0</v>
      </c>
      <c r="G336" s="234">
        <f t="shared" si="2"/>
        <v>0</v>
      </c>
      <c r="H336" s="235">
        <f t="shared" si="4"/>
        <v>-5257.45</v>
      </c>
      <c r="I336" s="236" t="str">
        <f t="shared" si="3"/>
        <v>⛔  DÉCOUVERT</v>
      </c>
      <c r="J336" s="237">
        <v>332.0</v>
      </c>
      <c r="K336" s="238"/>
    </row>
    <row r="337" ht="18.75" customHeight="1">
      <c r="A337" s="229">
        <f>DATE(Tresorerie!$E$2,1,1)+J336</f>
        <v>46355</v>
      </c>
      <c r="B337" s="239" t="str">
        <f t="shared" si="1"/>
        <v>dim.</v>
      </c>
      <c r="C337" s="231">
        <f>SUMPRODUCT((Entrées[Date]=A337)*IF(ISNUMBER(Entrées[Montant TTC]),Entrées[Montant TTC],0))</f>
        <v>0</v>
      </c>
      <c r="D337" s="232">
        <f>SUMPRODUCT((Prévisions[0]=A337)*IF(Prévisions[E / S]="Entrée",IF(ISNUMBER(Prévisions[Coût TTC]),Prévisions[Coût TTC],0),0))</f>
        <v>0</v>
      </c>
      <c r="E337" s="233">
        <f>SUMPRODUCT((Sorties[Date]=A337)*IF(ISNUMBER(Sorties[Coût TTC]),Sorties[Coût TTC],0))</f>
        <v>0</v>
      </c>
      <c r="F337" s="232">
        <f>SUMPRODUCT((Prévisions[0]=A337)*IF(Prévisions[E / S]="Sortie",IF(ISNUMBER(Prévisions[Coût TTC]),Prévisions[Coût TTC],0),0))</f>
        <v>0</v>
      </c>
      <c r="G337" s="234">
        <f t="shared" si="2"/>
        <v>0</v>
      </c>
      <c r="H337" s="235">
        <f t="shared" si="4"/>
        <v>-5257.45</v>
      </c>
      <c r="I337" s="236" t="str">
        <f t="shared" si="3"/>
        <v>⛔  DÉCOUVERT</v>
      </c>
      <c r="J337" s="237">
        <v>333.0</v>
      </c>
      <c r="K337" s="238"/>
    </row>
    <row r="338" ht="18.75" customHeight="1">
      <c r="A338" s="229">
        <f>DATE(Tresorerie!$E$2,1,1)+J337</f>
        <v>46356</v>
      </c>
      <c r="B338" s="240" t="str">
        <f t="shared" si="1"/>
        <v>lun.</v>
      </c>
      <c r="C338" s="231">
        <f>SUMPRODUCT((Entrées[Date]=A338)*IF(ISNUMBER(Entrées[Montant TTC]),Entrées[Montant TTC],0))</f>
        <v>0</v>
      </c>
      <c r="D338" s="232">
        <f>SUMPRODUCT((Prévisions[0]=A338)*IF(Prévisions[E / S]="Entrée",IF(ISNUMBER(Prévisions[Coût TTC]),Prévisions[Coût TTC],0),0))</f>
        <v>0</v>
      </c>
      <c r="E338" s="233">
        <f>SUMPRODUCT((Sorties[Date]=A338)*IF(ISNUMBER(Sorties[Coût TTC]),Sorties[Coût TTC],0))</f>
        <v>0</v>
      </c>
      <c r="F338" s="232">
        <f>SUMPRODUCT((Prévisions[0]=A338)*IF(Prévisions[E / S]="Sortie",IF(ISNUMBER(Prévisions[Coût TTC]),Prévisions[Coût TTC],0),0))</f>
        <v>0</v>
      </c>
      <c r="G338" s="234">
        <f t="shared" si="2"/>
        <v>0</v>
      </c>
      <c r="H338" s="235">
        <f t="shared" si="4"/>
        <v>-5257.45</v>
      </c>
      <c r="I338" s="236" t="str">
        <f t="shared" si="3"/>
        <v>⛔  DÉCOUVERT</v>
      </c>
      <c r="J338" s="237">
        <v>334.0</v>
      </c>
      <c r="K338" s="238"/>
    </row>
    <row r="339" ht="18.75" customHeight="1">
      <c r="A339" s="229">
        <f>DATE(Tresorerie!$E$2,1,1)+J338</f>
        <v>46357</v>
      </c>
      <c r="B339" s="230" t="str">
        <f t="shared" si="1"/>
        <v>mar.</v>
      </c>
      <c r="C339" s="231">
        <f>SUMPRODUCT((Entrées[Date]=A339)*IF(ISNUMBER(Entrées[Montant TTC]),Entrées[Montant TTC],0))</f>
        <v>0</v>
      </c>
      <c r="D339" s="232">
        <f>SUMPRODUCT((Prévisions[0]=A339)*IF(Prévisions[E / S]="Entrée",IF(ISNUMBER(Prévisions[Coût TTC]),Prévisions[Coût TTC],0),0))</f>
        <v>0</v>
      </c>
      <c r="E339" s="233">
        <f>SUMPRODUCT((Sorties[Date]=A339)*IF(ISNUMBER(Sorties[Coût TTC]),Sorties[Coût TTC],0))</f>
        <v>0</v>
      </c>
      <c r="F339" s="232">
        <f>SUMPRODUCT((Prévisions[0]=A339)*IF(Prévisions[E / S]="Sortie",IF(ISNUMBER(Prévisions[Coût TTC]),Prévisions[Coût TTC],0),0))</f>
        <v>400</v>
      </c>
      <c r="G339" s="234">
        <f t="shared" si="2"/>
        <v>-400</v>
      </c>
      <c r="H339" s="235">
        <f t="shared" si="4"/>
        <v>-5657.45</v>
      </c>
      <c r="I339" s="236" t="str">
        <f t="shared" si="3"/>
        <v>⛔  DÉCOUVERT</v>
      </c>
      <c r="J339" s="237">
        <v>335.0</v>
      </c>
      <c r="K339" s="238"/>
    </row>
    <row r="340" ht="18.75" customHeight="1">
      <c r="A340" s="229">
        <f>DATE(Tresorerie!$E$2,1,1)+J339</f>
        <v>46358</v>
      </c>
      <c r="B340" s="230" t="str">
        <f t="shared" si="1"/>
        <v>mer.</v>
      </c>
      <c r="C340" s="231">
        <f>SUMPRODUCT((Entrées[Date]=A340)*IF(ISNUMBER(Entrées[Montant TTC]),Entrées[Montant TTC],0))</f>
        <v>0</v>
      </c>
      <c r="D340" s="232">
        <f>SUMPRODUCT((Prévisions[0]=A340)*IF(Prévisions[E / S]="Entrée",IF(ISNUMBER(Prévisions[Coût TTC]),Prévisions[Coût TTC],0),0))</f>
        <v>0</v>
      </c>
      <c r="E340" s="233">
        <f>SUMPRODUCT((Sorties[Date]=A340)*IF(ISNUMBER(Sorties[Coût TTC]),Sorties[Coût TTC],0))</f>
        <v>0</v>
      </c>
      <c r="F340" s="232">
        <f>SUMPRODUCT((Prévisions[0]=A340)*IF(Prévisions[E / S]="Sortie",IF(ISNUMBER(Prévisions[Coût TTC]),Prévisions[Coût TTC],0),0))</f>
        <v>0</v>
      </c>
      <c r="G340" s="234">
        <f t="shared" si="2"/>
        <v>0</v>
      </c>
      <c r="H340" s="235">
        <f t="shared" si="4"/>
        <v>-5657.45</v>
      </c>
      <c r="I340" s="236" t="str">
        <f t="shared" si="3"/>
        <v>⛔  DÉCOUVERT</v>
      </c>
      <c r="J340" s="237">
        <v>336.0</v>
      </c>
      <c r="K340" s="238"/>
    </row>
    <row r="341" ht="18.75" customHeight="1">
      <c r="A341" s="229">
        <f>DATE(Tresorerie!$E$2,1,1)+J340</f>
        <v>46359</v>
      </c>
      <c r="B341" s="230" t="str">
        <f t="shared" si="1"/>
        <v>jeu.</v>
      </c>
      <c r="C341" s="231">
        <f>SUMPRODUCT((Entrées[Date]=A341)*IF(ISNUMBER(Entrées[Montant TTC]),Entrées[Montant TTC],0))</f>
        <v>0</v>
      </c>
      <c r="D341" s="232">
        <f>SUMPRODUCT((Prévisions[0]=A341)*IF(Prévisions[E / S]="Entrée",IF(ISNUMBER(Prévisions[Coût TTC]),Prévisions[Coût TTC],0),0))</f>
        <v>0</v>
      </c>
      <c r="E341" s="233">
        <f>SUMPRODUCT((Sorties[Date]=A341)*IF(ISNUMBER(Sorties[Coût TTC]),Sorties[Coût TTC],0))</f>
        <v>0</v>
      </c>
      <c r="F341" s="232">
        <f>SUMPRODUCT((Prévisions[0]=A341)*IF(Prévisions[E / S]="Sortie",IF(ISNUMBER(Prévisions[Coût TTC]),Prévisions[Coût TTC],0),0))</f>
        <v>0</v>
      </c>
      <c r="G341" s="234">
        <f t="shared" si="2"/>
        <v>0</v>
      </c>
      <c r="H341" s="235">
        <f t="shared" si="4"/>
        <v>-5657.45</v>
      </c>
      <c r="I341" s="236" t="str">
        <f t="shared" si="3"/>
        <v>⛔  DÉCOUVERT</v>
      </c>
      <c r="J341" s="237">
        <v>337.0</v>
      </c>
      <c r="K341" s="238"/>
    </row>
    <row r="342" ht="18.75" customHeight="1">
      <c r="A342" s="229">
        <f>DATE(Tresorerie!$E$2,1,1)+J341</f>
        <v>46360</v>
      </c>
      <c r="B342" s="230" t="str">
        <f t="shared" si="1"/>
        <v>ven.</v>
      </c>
      <c r="C342" s="231">
        <f>SUMPRODUCT((Entrées[Date]=A342)*IF(ISNUMBER(Entrées[Montant TTC]),Entrées[Montant TTC],0))</f>
        <v>0</v>
      </c>
      <c r="D342" s="232">
        <f>SUMPRODUCT((Prévisions[0]=A342)*IF(Prévisions[E / S]="Entrée",IF(ISNUMBER(Prévisions[Coût TTC]),Prévisions[Coût TTC],0),0))</f>
        <v>0</v>
      </c>
      <c r="E342" s="233">
        <f>SUMPRODUCT((Sorties[Date]=A342)*IF(ISNUMBER(Sorties[Coût TTC]),Sorties[Coût TTC],0))</f>
        <v>0</v>
      </c>
      <c r="F342" s="232">
        <f>SUMPRODUCT((Prévisions[0]=A342)*IF(Prévisions[E / S]="Sortie",IF(ISNUMBER(Prévisions[Coût TTC]),Prévisions[Coût TTC],0),0))</f>
        <v>0</v>
      </c>
      <c r="G342" s="234">
        <f t="shared" si="2"/>
        <v>0</v>
      </c>
      <c r="H342" s="235">
        <f t="shared" si="4"/>
        <v>-5657.45</v>
      </c>
      <c r="I342" s="236" t="str">
        <f t="shared" si="3"/>
        <v>⛔  DÉCOUVERT</v>
      </c>
      <c r="J342" s="237">
        <v>338.0</v>
      </c>
      <c r="K342" s="238"/>
    </row>
    <row r="343" ht="18.75" customHeight="1">
      <c r="A343" s="229">
        <f>DATE(Tresorerie!$E$2,1,1)+J342</f>
        <v>46361</v>
      </c>
      <c r="B343" s="239" t="str">
        <f t="shared" si="1"/>
        <v>sam.</v>
      </c>
      <c r="C343" s="231">
        <f>SUMPRODUCT((Entrées[Date]=A343)*IF(ISNUMBER(Entrées[Montant TTC]),Entrées[Montant TTC],0))</f>
        <v>0</v>
      </c>
      <c r="D343" s="232">
        <f>SUMPRODUCT((Prévisions[0]=A343)*IF(Prévisions[E / S]="Entrée",IF(ISNUMBER(Prévisions[Coût TTC]),Prévisions[Coût TTC],0),0))</f>
        <v>0</v>
      </c>
      <c r="E343" s="233">
        <f>SUMPRODUCT((Sorties[Date]=A343)*IF(ISNUMBER(Sorties[Coût TTC]),Sorties[Coût TTC],0))</f>
        <v>0</v>
      </c>
      <c r="F343" s="232">
        <f>SUMPRODUCT((Prévisions[0]=A343)*IF(Prévisions[E / S]="Sortie",IF(ISNUMBER(Prévisions[Coût TTC]),Prévisions[Coût TTC],0),0))</f>
        <v>0</v>
      </c>
      <c r="G343" s="234">
        <f t="shared" si="2"/>
        <v>0</v>
      </c>
      <c r="H343" s="235">
        <f t="shared" si="4"/>
        <v>-5657.45</v>
      </c>
      <c r="I343" s="236" t="str">
        <f t="shared" si="3"/>
        <v>⛔  DÉCOUVERT</v>
      </c>
      <c r="J343" s="237">
        <v>339.0</v>
      </c>
      <c r="K343" s="238"/>
    </row>
    <row r="344" ht="18.75" customHeight="1">
      <c r="A344" s="229">
        <f>DATE(Tresorerie!$E$2,1,1)+J343</f>
        <v>46362</v>
      </c>
      <c r="B344" s="239" t="str">
        <f t="shared" si="1"/>
        <v>dim.</v>
      </c>
      <c r="C344" s="231">
        <f>SUMPRODUCT((Entrées[Date]=A344)*IF(ISNUMBER(Entrées[Montant TTC]),Entrées[Montant TTC],0))</f>
        <v>0</v>
      </c>
      <c r="D344" s="232">
        <f>SUMPRODUCT((Prévisions[0]=A344)*IF(Prévisions[E / S]="Entrée",IF(ISNUMBER(Prévisions[Coût TTC]),Prévisions[Coût TTC],0),0))</f>
        <v>0</v>
      </c>
      <c r="E344" s="233">
        <f>SUMPRODUCT((Sorties[Date]=A344)*IF(ISNUMBER(Sorties[Coût TTC]),Sorties[Coût TTC],0))</f>
        <v>0</v>
      </c>
      <c r="F344" s="232">
        <f>SUMPRODUCT((Prévisions[0]=A344)*IF(Prévisions[E / S]="Sortie",IF(ISNUMBER(Prévisions[Coût TTC]),Prévisions[Coût TTC],0),0))</f>
        <v>0</v>
      </c>
      <c r="G344" s="234">
        <f t="shared" si="2"/>
        <v>0</v>
      </c>
      <c r="H344" s="235">
        <f t="shared" si="4"/>
        <v>-5657.45</v>
      </c>
      <c r="I344" s="236" t="str">
        <f t="shared" si="3"/>
        <v>⛔  DÉCOUVERT</v>
      </c>
      <c r="J344" s="237">
        <v>340.0</v>
      </c>
      <c r="K344" s="238"/>
    </row>
    <row r="345" ht="18.75" customHeight="1">
      <c r="A345" s="229">
        <f>DATE(Tresorerie!$E$2,1,1)+J344</f>
        <v>46363</v>
      </c>
      <c r="B345" s="240" t="str">
        <f t="shared" si="1"/>
        <v>lun.</v>
      </c>
      <c r="C345" s="231">
        <f>SUMPRODUCT((Entrées[Date]=A345)*IF(ISNUMBER(Entrées[Montant TTC]),Entrées[Montant TTC],0))</f>
        <v>0</v>
      </c>
      <c r="D345" s="232">
        <f>SUMPRODUCT((Prévisions[0]=A345)*IF(Prévisions[E / S]="Entrée",IF(ISNUMBER(Prévisions[Coût TTC]),Prévisions[Coût TTC],0),0))</f>
        <v>0</v>
      </c>
      <c r="E345" s="233">
        <f>SUMPRODUCT((Sorties[Date]=A345)*IF(ISNUMBER(Sorties[Coût TTC]),Sorties[Coût TTC],0))</f>
        <v>0</v>
      </c>
      <c r="F345" s="232">
        <f>SUMPRODUCT((Prévisions[0]=A345)*IF(Prévisions[E / S]="Sortie",IF(ISNUMBER(Prévisions[Coût TTC]),Prévisions[Coût TTC],0),0))</f>
        <v>1400</v>
      </c>
      <c r="G345" s="234">
        <f t="shared" si="2"/>
        <v>-1400</v>
      </c>
      <c r="H345" s="235">
        <f t="shared" si="4"/>
        <v>-7057.45</v>
      </c>
      <c r="I345" s="236" t="str">
        <f t="shared" si="3"/>
        <v>⛔  DÉCOUVERT</v>
      </c>
      <c r="J345" s="237">
        <v>341.0</v>
      </c>
      <c r="K345" s="238"/>
    </row>
    <row r="346" ht="18.75" customHeight="1">
      <c r="A346" s="229">
        <f>DATE(Tresorerie!$E$2,1,1)+J345</f>
        <v>46364</v>
      </c>
      <c r="B346" s="230" t="str">
        <f t="shared" si="1"/>
        <v>mar.</v>
      </c>
      <c r="C346" s="231">
        <f>SUMPRODUCT((Entrées[Date]=A346)*IF(ISNUMBER(Entrées[Montant TTC]),Entrées[Montant TTC],0))</f>
        <v>0</v>
      </c>
      <c r="D346" s="232">
        <f>SUMPRODUCT((Prévisions[0]=A346)*IF(Prévisions[E / S]="Entrée",IF(ISNUMBER(Prévisions[Coût TTC]),Prévisions[Coût TTC],0),0))</f>
        <v>0</v>
      </c>
      <c r="E346" s="233">
        <f>SUMPRODUCT((Sorties[Date]=A346)*IF(ISNUMBER(Sorties[Coût TTC]),Sorties[Coût TTC],0))</f>
        <v>0</v>
      </c>
      <c r="F346" s="232">
        <f>SUMPRODUCT((Prévisions[0]=A346)*IF(Prévisions[E / S]="Sortie",IF(ISNUMBER(Prévisions[Coût TTC]),Prévisions[Coût TTC],0),0))</f>
        <v>0</v>
      </c>
      <c r="G346" s="234">
        <f t="shared" si="2"/>
        <v>0</v>
      </c>
      <c r="H346" s="235">
        <f t="shared" si="4"/>
        <v>-7057.45</v>
      </c>
      <c r="I346" s="236" t="str">
        <f t="shared" si="3"/>
        <v>⛔  DÉCOUVERT</v>
      </c>
      <c r="J346" s="237">
        <v>342.0</v>
      </c>
      <c r="K346" s="238"/>
    </row>
    <row r="347" ht="18.75" customHeight="1">
      <c r="A347" s="229">
        <f>DATE(Tresorerie!$E$2,1,1)+J346</f>
        <v>46365</v>
      </c>
      <c r="B347" s="230" t="str">
        <f t="shared" si="1"/>
        <v>mer.</v>
      </c>
      <c r="C347" s="231">
        <f>SUMPRODUCT((Entrées[Date]=A347)*IF(ISNUMBER(Entrées[Montant TTC]),Entrées[Montant TTC],0))</f>
        <v>0</v>
      </c>
      <c r="D347" s="232">
        <f>SUMPRODUCT((Prévisions[0]=A347)*IF(Prévisions[E / S]="Entrée",IF(ISNUMBER(Prévisions[Coût TTC]),Prévisions[Coût TTC],0),0))</f>
        <v>0</v>
      </c>
      <c r="E347" s="233">
        <f>SUMPRODUCT((Sorties[Date]=A347)*IF(ISNUMBER(Sorties[Coût TTC]),Sorties[Coût TTC],0))</f>
        <v>0</v>
      </c>
      <c r="F347" s="232">
        <f>SUMPRODUCT((Prévisions[0]=A347)*IF(Prévisions[E / S]="Sortie",IF(ISNUMBER(Prévisions[Coût TTC]),Prévisions[Coût TTC],0),0))</f>
        <v>0</v>
      </c>
      <c r="G347" s="234">
        <f t="shared" si="2"/>
        <v>0</v>
      </c>
      <c r="H347" s="235">
        <f t="shared" si="4"/>
        <v>-7057.45</v>
      </c>
      <c r="I347" s="236" t="str">
        <f t="shared" si="3"/>
        <v>⛔  DÉCOUVERT</v>
      </c>
      <c r="J347" s="237">
        <v>343.0</v>
      </c>
      <c r="K347" s="238"/>
    </row>
    <row r="348" ht="18.75" customHeight="1">
      <c r="A348" s="229">
        <f>DATE(Tresorerie!$E$2,1,1)+J347</f>
        <v>46366</v>
      </c>
      <c r="B348" s="230" t="str">
        <f t="shared" si="1"/>
        <v>jeu.</v>
      </c>
      <c r="C348" s="231">
        <f>SUMPRODUCT((Entrées[Date]=A348)*IF(ISNUMBER(Entrées[Montant TTC]),Entrées[Montant TTC],0))</f>
        <v>0</v>
      </c>
      <c r="D348" s="232">
        <f>SUMPRODUCT((Prévisions[0]=A348)*IF(Prévisions[E / S]="Entrée",IF(ISNUMBER(Prévisions[Coût TTC]),Prévisions[Coût TTC],0),0))</f>
        <v>0</v>
      </c>
      <c r="E348" s="233">
        <f>SUMPRODUCT((Sorties[Date]=A348)*IF(ISNUMBER(Sorties[Coût TTC]),Sorties[Coût TTC],0))</f>
        <v>0</v>
      </c>
      <c r="F348" s="232">
        <f>SUMPRODUCT((Prévisions[0]=A348)*IF(Prévisions[E / S]="Sortie",IF(ISNUMBER(Prévisions[Coût TTC]),Prévisions[Coût TTC],0),0))</f>
        <v>0</v>
      </c>
      <c r="G348" s="234">
        <f t="shared" si="2"/>
        <v>0</v>
      </c>
      <c r="H348" s="235">
        <f t="shared" si="4"/>
        <v>-7057.45</v>
      </c>
      <c r="I348" s="236" t="str">
        <f t="shared" si="3"/>
        <v>⛔  DÉCOUVERT</v>
      </c>
      <c r="J348" s="237">
        <v>344.0</v>
      </c>
      <c r="K348" s="238"/>
    </row>
    <row r="349" ht="18.75" customHeight="1">
      <c r="A349" s="229">
        <f>DATE(Tresorerie!$E$2,1,1)+J348</f>
        <v>46367</v>
      </c>
      <c r="B349" s="230" t="str">
        <f t="shared" si="1"/>
        <v>ven.</v>
      </c>
      <c r="C349" s="231">
        <f>SUMPRODUCT((Entrées[Date]=A349)*IF(ISNUMBER(Entrées[Montant TTC]),Entrées[Montant TTC],0))</f>
        <v>0</v>
      </c>
      <c r="D349" s="232">
        <f>SUMPRODUCT((Prévisions[0]=A349)*IF(Prévisions[E / S]="Entrée",IF(ISNUMBER(Prévisions[Coût TTC]),Prévisions[Coût TTC],0),0))</f>
        <v>0</v>
      </c>
      <c r="E349" s="233">
        <f>SUMPRODUCT((Sorties[Date]=A349)*IF(ISNUMBER(Sorties[Coût TTC]),Sorties[Coût TTC],0))</f>
        <v>0</v>
      </c>
      <c r="F349" s="232">
        <f>SUMPRODUCT((Prévisions[0]=A349)*IF(Prévisions[E / S]="Sortie",IF(ISNUMBER(Prévisions[Coût TTC]),Prévisions[Coût TTC],0),0))</f>
        <v>0</v>
      </c>
      <c r="G349" s="234">
        <f t="shared" si="2"/>
        <v>0</v>
      </c>
      <c r="H349" s="235">
        <f t="shared" si="4"/>
        <v>-7057.45</v>
      </c>
      <c r="I349" s="236" t="str">
        <f t="shared" si="3"/>
        <v>⛔  DÉCOUVERT</v>
      </c>
      <c r="J349" s="237">
        <v>345.0</v>
      </c>
      <c r="K349" s="238"/>
    </row>
    <row r="350" ht="18.75" customHeight="1">
      <c r="A350" s="229">
        <f>DATE(Tresorerie!$E$2,1,1)+J349</f>
        <v>46368</v>
      </c>
      <c r="B350" s="239" t="str">
        <f t="shared" si="1"/>
        <v>sam.</v>
      </c>
      <c r="C350" s="231">
        <f>SUMPRODUCT((Entrées[Date]=A350)*IF(ISNUMBER(Entrées[Montant TTC]),Entrées[Montant TTC],0))</f>
        <v>0</v>
      </c>
      <c r="D350" s="232">
        <f>SUMPRODUCT((Prévisions[0]=A350)*IF(Prévisions[E / S]="Entrée",IF(ISNUMBER(Prévisions[Coût TTC]),Prévisions[Coût TTC],0),0))</f>
        <v>0</v>
      </c>
      <c r="E350" s="233">
        <f>SUMPRODUCT((Sorties[Date]=A350)*IF(ISNUMBER(Sorties[Coût TTC]),Sorties[Coût TTC],0))</f>
        <v>0</v>
      </c>
      <c r="F350" s="232">
        <f>SUMPRODUCT((Prévisions[0]=A350)*IF(Prévisions[E / S]="Sortie",IF(ISNUMBER(Prévisions[Coût TTC]),Prévisions[Coût TTC],0),0))</f>
        <v>0</v>
      </c>
      <c r="G350" s="234">
        <f t="shared" si="2"/>
        <v>0</v>
      </c>
      <c r="H350" s="235">
        <f t="shared" si="4"/>
        <v>-7057.45</v>
      </c>
      <c r="I350" s="236" t="str">
        <f t="shared" si="3"/>
        <v>⛔  DÉCOUVERT</v>
      </c>
      <c r="J350" s="237">
        <v>346.0</v>
      </c>
      <c r="K350" s="238"/>
    </row>
    <row r="351" ht="18.75" customHeight="1">
      <c r="A351" s="229">
        <f>DATE(Tresorerie!$E$2,1,1)+J350</f>
        <v>46369</v>
      </c>
      <c r="B351" s="239" t="str">
        <f t="shared" si="1"/>
        <v>dim.</v>
      </c>
      <c r="C351" s="231">
        <f>SUMPRODUCT((Entrées[Date]=A351)*IF(ISNUMBER(Entrées[Montant TTC]),Entrées[Montant TTC],0))</f>
        <v>0</v>
      </c>
      <c r="D351" s="232">
        <f>SUMPRODUCT((Prévisions[0]=A351)*IF(Prévisions[E / S]="Entrée",IF(ISNUMBER(Prévisions[Coût TTC]),Prévisions[Coût TTC],0),0))</f>
        <v>0</v>
      </c>
      <c r="E351" s="233">
        <f>SUMPRODUCT((Sorties[Date]=A351)*IF(ISNUMBER(Sorties[Coût TTC]),Sorties[Coût TTC],0))</f>
        <v>0</v>
      </c>
      <c r="F351" s="232">
        <f>SUMPRODUCT((Prévisions[0]=A351)*IF(Prévisions[E / S]="Sortie",IF(ISNUMBER(Prévisions[Coût TTC]),Prévisions[Coût TTC],0),0))</f>
        <v>0</v>
      </c>
      <c r="G351" s="234">
        <f t="shared" si="2"/>
        <v>0</v>
      </c>
      <c r="H351" s="235">
        <f t="shared" si="4"/>
        <v>-7057.45</v>
      </c>
      <c r="I351" s="236" t="str">
        <f t="shared" si="3"/>
        <v>⛔  DÉCOUVERT</v>
      </c>
      <c r="J351" s="237">
        <v>347.0</v>
      </c>
      <c r="K351" s="238"/>
    </row>
    <row r="352" ht="18.75" customHeight="1">
      <c r="A352" s="229">
        <f>DATE(Tresorerie!$E$2,1,1)+J351</f>
        <v>46370</v>
      </c>
      <c r="B352" s="240" t="str">
        <f t="shared" si="1"/>
        <v>lun.</v>
      </c>
      <c r="C352" s="231">
        <f>SUMPRODUCT((Entrées[Date]=A352)*IF(ISNUMBER(Entrées[Montant TTC]),Entrées[Montant TTC],0))</f>
        <v>0</v>
      </c>
      <c r="D352" s="232">
        <f>SUMPRODUCT((Prévisions[0]=A352)*IF(Prévisions[E / S]="Entrée",IF(ISNUMBER(Prévisions[Coût TTC]),Prévisions[Coût TTC],0),0))</f>
        <v>0</v>
      </c>
      <c r="E352" s="233">
        <f>SUMPRODUCT((Sorties[Date]=A352)*IF(ISNUMBER(Sorties[Coût TTC]),Sorties[Coût TTC],0))</f>
        <v>0</v>
      </c>
      <c r="F352" s="232">
        <f>SUMPRODUCT((Prévisions[0]=A352)*IF(Prévisions[E / S]="Sortie",IF(ISNUMBER(Prévisions[Coût TTC]),Prévisions[Coût TTC],0),0))</f>
        <v>1600</v>
      </c>
      <c r="G352" s="234">
        <f t="shared" si="2"/>
        <v>-1600</v>
      </c>
      <c r="H352" s="235">
        <f t="shared" si="4"/>
        <v>-8657.45</v>
      </c>
      <c r="I352" s="236" t="str">
        <f t="shared" si="3"/>
        <v>⛔  DÉCOUVERT</v>
      </c>
      <c r="J352" s="237">
        <v>348.0</v>
      </c>
      <c r="K352" s="238"/>
    </row>
    <row r="353" ht="18.75" customHeight="1">
      <c r="A353" s="229">
        <f>DATE(Tresorerie!$E$2,1,1)+J352</f>
        <v>46371</v>
      </c>
      <c r="B353" s="230" t="str">
        <f t="shared" si="1"/>
        <v>mar.</v>
      </c>
      <c r="C353" s="231">
        <f>SUMPRODUCT((Entrées[Date]=A353)*IF(ISNUMBER(Entrées[Montant TTC]),Entrées[Montant TTC],0))</f>
        <v>0</v>
      </c>
      <c r="D353" s="232">
        <f>SUMPRODUCT((Prévisions[0]=A353)*IF(Prévisions[E / S]="Entrée",IF(ISNUMBER(Prévisions[Coût TTC]),Prévisions[Coût TTC],0),0))</f>
        <v>0</v>
      </c>
      <c r="E353" s="233">
        <f>SUMPRODUCT((Sorties[Date]=A353)*IF(ISNUMBER(Sorties[Coût TTC]),Sorties[Coût TTC],0))</f>
        <v>0</v>
      </c>
      <c r="F353" s="232">
        <f>SUMPRODUCT((Prévisions[0]=A353)*IF(Prévisions[E / S]="Sortie",IF(ISNUMBER(Prévisions[Coût TTC]),Prévisions[Coût TTC],0),0))</f>
        <v>3602.99</v>
      </c>
      <c r="G353" s="234">
        <f t="shared" si="2"/>
        <v>-3602.99</v>
      </c>
      <c r="H353" s="235">
        <f t="shared" si="4"/>
        <v>-12260.44</v>
      </c>
      <c r="I353" s="236" t="str">
        <f t="shared" si="3"/>
        <v>⛔  DÉCOUVERT</v>
      </c>
      <c r="J353" s="237">
        <v>349.0</v>
      </c>
      <c r="K353" s="238"/>
    </row>
    <row r="354" ht="18.75" customHeight="1">
      <c r="A354" s="229">
        <f>DATE(Tresorerie!$E$2,1,1)+J353</f>
        <v>46372</v>
      </c>
      <c r="B354" s="230" t="str">
        <f t="shared" si="1"/>
        <v>mer.</v>
      </c>
      <c r="C354" s="231">
        <f>SUMPRODUCT((Entrées[Date]=A354)*IF(ISNUMBER(Entrées[Montant TTC]),Entrées[Montant TTC],0))</f>
        <v>0</v>
      </c>
      <c r="D354" s="232">
        <f>SUMPRODUCT((Prévisions[0]=A354)*IF(Prévisions[E / S]="Entrée",IF(ISNUMBER(Prévisions[Coût TTC]),Prévisions[Coût TTC],0),0))</f>
        <v>0</v>
      </c>
      <c r="E354" s="233">
        <f>SUMPRODUCT((Sorties[Date]=A354)*IF(ISNUMBER(Sorties[Coût TTC]),Sorties[Coût TTC],0))</f>
        <v>0</v>
      </c>
      <c r="F354" s="232">
        <f>SUMPRODUCT((Prévisions[0]=A354)*IF(Prévisions[E / S]="Sortie",IF(ISNUMBER(Prévisions[Coût TTC]),Prévisions[Coût TTC],0),0))</f>
        <v>0</v>
      </c>
      <c r="G354" s="234">
        <f t="shared" si="2"/>
        <v>0</v>
      </c>
      <c r="H354" s="235">
        <f t="shared" si="4"/>
        <v>-12260.44</v>
      </c>
      <c r="I354" s="236" t="str">
        <f t="shared" si="3"/>
        <v>⛔  DÉCOUVERT</v>
      </c>
      <c r="J354" s="237">
        <v>350.0</v>
      </c>
      <c r="K354" s="238"/>
    </row>
    <row r="355" ht="18.75" customHeight="1">
      <c r="A355" s="229">
        <f>DATE(Tresorerie!$E$2,1,1)+J354</f>
        <v>46373</v>
      </c>
      <c r="B355" s="230" t="str">
        <f t="shared" si="1"/>
        <v>jeu.</v>
      </c>
      <c r="C355" s="231">
        <f>SUMPRODUCT((Entrées[Date]=A355)*IF(ISNUMBER(Entrées[Montant TTC]),Entrées[Montant TTC],0))</f>
        <v>0</v>
      </c>
      <c r="D355" s="232">
        <f>SUMPRODUCT((Prévisions[0]=A355)*IF(Prévisions[E / S]="Entrée",IF(ISNUMBER(Prévisions[Coût TTC]),Prévisions[Coût TTC],0),0))</f>
        <v>0</v>
      </c>
      <c r="E355" s="233">
        <f>SUMPRODUCT((Sorties[Date]=A355)*IF(ISNUMBER(Sorties[Coût TTC]),Sorties[Coût TTC],0))</f>
        <v>0</v>
      </c>
      <c r="F355" s="232">
        <f>SUMPRODUCT((Prévisions[0]=A355)*IF(Prévisions[E / S]="Sortie",IF(ISNUMBER(Prévisions[Coût TTC]),Prévisions[Coût TTC],0),0))</f>
        <v>0</v>
      </c>
      <c r="G355" s="234">
        <f t="shared" si="2"/>
        <v>0</v>
      </c>
      <c r="H355" s="235">
        <f t="shared" si="4"/>
        <v>-12260.44</v>
      </c>
      <c r="I355" s="236" t="str">
        <f t="shared" si="3"/>
        <v>⛔  DÉCOUVERT</v>
      </c>
      <c r="J355" s="237">
        <v>351.0</v>
      </c>
      <c r="K355" s="238"/>
    </row>
    <row r="356" ht="18.75" customHeight="1">
      <c r="A356" s="229">
        <f>DATE(Tresorerie!$E$2,1,1)+J355</f>
        <v>46374</v>
      </c>
      <c r="B356" s="230" t="str">
        <f t="shared" si="1"/>
        <v>ven.</v>
      </c>
      <c r="C356" s="231">
        <f>SUMPRODUCT((Entrées[Date]=A356)*IF(ISNUMBER(Entrées[Montant TTC]),Entrées[Montant TTC],0))</f>
        <v>0</v>
      </c>
      <c r="D356" s="232">
        <f>SUMPRODUCT((Prévisions[0]=A356)*IF(Prévisions[E / S]="Entrée",IF(ISNUMBER(Prévisions[Coût TTC]),Prévisions[Coût TTC],0),0))</f>
        <v>0</v>
      </c>
      <c r="E356" s="233">
        <f>SUMPRODUCT((Sorties[Date]=A356)*IF(ISNUMBER(Sorties[Coût TTC]),Sorties[Coût TTC],0))</f>
        <v>0</v>
      </c>
      <c r="F356" s="232">
        <f>SUMPRODUCT((Prévisions[0]=A356)*IF(Prévisions[E / S]="Sortie",IF(ISNUMBER(Prévisions[Coût TTC]),Prévisions[Coût TTC],0),0))</f>
        <v>0</v>
      </c>
      <c r="G356" s="234">
        <f t="shared" si="2"/>
        <v>0</v>
      </c>
      <c r="H356" s="235">
        <f t="shared" si="4"/>
        <v>-12260.44</v>
      </c>
      <c r="I356" s="236" t="str">
        <f t="shared" si="3"/>
        <v>⛔  DÉCOUVERT</v>
      </c>
      <c r="J356" s="237">
        <v>352.0</v>
      </c>
      <c r="K356" s="238"/>
    </row>
    <row r="357" ht="18.75" customHeight="1">
      <c r="A357" s="229">
        <f>DATE(Tresorerie!$E$2,1,1)+J356</f>
        <v>46375</v>
      </c>
      <c r="B357" s="239" t="str">
        <f t="shared" si="1"/>
        <v>sam.</v>
      </c>
      <c r="C357" s="231">
        <f>SUMPRODUCT((Entrées[Date]=A357)*IF(ISNUMBER(Entrées[Montant TTC]),Entrées[Montant TTC],0))</f>
        <v>0</v>
      </c>
      <c r="D357" s="232">
        <f>SUMPRODUCT((Prévisions[0]=A357)*IF(Prévisions[E / S]="Entrée",IF(ISNUMBER(Prévisions[Coût TTC]),Prévisions[Coût TTC],0),0))</f>
        <v>0</v>
      </c>
      <c r="E357" s="233">
        <f>SUMPRODUCT((Sorties[Date]=A357)*IF(ISNUMBER(Sorties[Coût TTC]),Sorties[Coût TTC],0))</f>
        <v>0</v>
      </c>
      <c r="F357" s="232">
        <f>SUMPRODUCT((Prévisions[0]=A357)*IF(Prévisions[E / S]="Sortie",IF(ISNUMBER(Prévisions[Coût TTC]),Prévisions[Coût TTC],0),0))</f>
        <v>0</v>
      </c>
      <c r="G357" s="234">
        <f t="shared" si="2"/>
        <v>0</v>
      </c>
      <c r="H357" s="235">
        <f t="shared" si="4"/>
        <v>-12260.44</v>
      </c>
      <c r="I357" s="236" t="str">
        <f t="shared" si="3"/>
        <v>⛔  DÉCOUVERT</v>
      </c>
      <c r="J357" s="237">
        <v>353.0</v>
      </c>
      <c r="K357" s="238"/>
    </row>
    <row r="358" ht="18.75" customHeight="1">
      <c r="A358" s="229">
        <f>DATE(Tresorerie!$E$2,1,1)+J357</f>
        <v>46376</v>
      </c>
      <c r="B358" s="239" t="str">
        <f t="shared" si="1"/>
        <v>dim.</v>
      </c>
      <c r="C358" s="231">
        <f>SUMPRODUCT((Entrées[Date]=A358)*IF(ISNUMBER(Entrées[Montant TTC]),Entrées[Montant TTC],0))</f>
        <v>0</v>
      </c>
      <c r="D358" s="232">
        <f>SUMPRODUCT((Prévisions[0]=A358)*IF(Prévisions[E / S]="Entrée",IF(ISNUMBER(Prévisions[Coût TTC]),Prévisions[Coût TTC],0),0))</f>
        <v>0</v>
      </c>
      <c r="E358" s="233">
        <f>SUMPRODUCT((Sorties[Date]=A358)*IF(ISNUMBER(Sorties[Coût TTC]),Sorties[Coût TTC],0))</f>
        <v>0</v>
      </c>
      <c r="F358" s="232">
        <f>SUMPRODUCT((Prévisions[0]=A358)*IF(Prévisions[E / S]="Sortie",IF(ISNUMBER(Prévisions[Coût TTC]),Prévisions[Coût TTC],0),0))</f>
        <v>0</v>
      </c>
      <c r="G358" s="234">
        <f t="shared" si="2"/>
        <v>0</v>
      </c>
      <c r="H358" s="235">
        <f t="shared" si="4"/>
        <v>-12260.44</v>
      </c>
      <c r="I358" s="236" t="str">
        <f t="shared" si="3"/>
        <v>⛔  DÉCOUVERT</v>
      </c>
      <c r="J358" s="237">
        <v>354.0</v>
      </c>
      <c r="K358" s="238"/>
    </row>
    <row r="359" ht="18.75" customHeight="1">
      <c r="A359" s="229">
        <f>DATE(Tresorerie!$E$2,1,1)+J358</f>
        <v>46377</v>
      </c>
      <c r="B359" s="240" t="str">
        <f t="shared" si="1"/>
        <v>lun.</v>
      </c>
      <c r="C359" s="231">
        <f>SUMPRODUCT((Entrées[Date]=A359)*IF(ISNUMBER(Entrées[Montant TTC]),Entrées[Montant TTC],0))</f>
        <v>0</v>
      </c>
      <c r="D359" s="232">
        <f>SUMPRODUCT((Prévisions[0]=A359)*IF(Prévisions[E / S]="Entrée",IF(ISNUMBER(Prévisions[Coût TTC]),Prévisions[Coût TTC],0),0))</f>
        <v>0</v>
      </c>
      <c r="E359" s="233">
        <f>SUMPRODUCT((Sorties[Date]=A359)*IF(ISNUMBER(Sorties[Coût TTC]),Sorties[Coût TTC],0))</f>
        <v>0</v>
      </c>
      <c r="F359" s="232">
        <f>SUMPRODUCT((Prévisions[0]=A359)*IF(Prévisions[E / S]="Sortie",IF(ISNUMBER(Prévisions[Coût TTC]),Prévisions[Coût TTC],0),0))</f>
        <v>0</v>
      </c>
      <c r="G359" s="234">
        <f t="shared" si="2"/>
        <v>0</v>
      </c>
      <c r="H359" s="235">
        <f t="shared" si="4"/>
        <v>-12260.44</v>
      </c>
      <c r="I359" s="236" t="str">
        <f t="shared" si="3"/>
        <v>⛔  DÉCOUVERT</v>
      </c>
      <c r="J359" s="237">
        <v>355.0</v>
      </c>
      <c r="K359" s="238"/>
    </row>
    <row r="360" ht="18.75" customHeight="1">
      <c r="A360" s="229">
        <f>DATE(Tresorerie!$E$2,1,1)+J359</f>
        <v>46378</v>
      </c>
      <c r="B360" s="230" t="str">
        <f t="shared" si="1"/>
        <v>mar.</v>
      </c>
      <c r="C360" s="231">
        <f>SUMPRODUCT((Entrées[Date]=A360)*IF(ISNUMBER(Entrées[Montant TTC]),Entrées[Montant TTC],0))</f>
        <v>0</v>
      </c>
      <c r="D360" s="232">
        <f>SUMPRODUCT((Prévisions[0]=A360)*IF(Prévisions[E / S]="Entrée",IF(ISNUMBER(Prévisions[Coût TTC]),Prévisions[Coût TTC],0),0))</f>
        <v>0</v>
      </c>
      <c r="E360" s="233">
        <f>SUMPRODUCT((Sorties[Date]=A360)*IF(ISNUMBER(Sorties[Coût TTC]),Sorties[Coût TTC],0))</f>
        <v>0</v>
      </c>
      <c r="F360" s="232">
        <f>SUMPRODUCT((Prévisions[0]=A360)*IF(Prévisions[E / S]="Sortie",IF(ISNUMBER(Prévisions[Coût TTC]),Prévisions[Coût TTC],0),0))</f>
        <v>0</v>
      </c>
      <c r="G360" s="234">
        <f t="shared" si="2"/>
        <v>0</v>
      </c>
      <c r="H360" s="235">
        <f t="shared" si="4"/>
        <v>-12260.44</v>
      </c>
      <c r="I360" s="236" t="str">
        <f t="shared" si="3"/>
        <v>⛔  DÉCOUVERT</v>
      </c>
      <c r="J360" s="237">
        <v>356.0</v>
      </c>
      <c r="K360" s="238"/>
    </row>
    <row r="361" ht="18.75" customHeight="1">
      <c r="A361" s="229">
        <f>DATE(Tresorerie!$E$2,1,1)+J360</f>
        <v>46379</v>
      </c>
      <c r="B361" s="230" t="str">
        <f t="shared" si="1"/>
        <v>mer.</v>
      </c>
      <c r="C361" s="231">
        <f>SUMPRODUCT((Entrées[Date]=A361)*IF(ISNUMBER(Entrées[Montant TTC]),Entrées[Montant TTC],0))</f>
        <v>0</v>
      </c>
      <c r="D361" s="232">
        <f>SUMPRODUCT((Prévisions[0]=A361)*IF(Prévisions[E / S]="Entrée",IF(ISNUMBER(Prévisions[Coût TTC]),Prévisions[Coût TTC],0),0))</f>
        <v>0</v>
      </c>
      <c r="E361" s="233">
        <f>SUMPRODUCT((Sorties[Date]=A361)*IF(ISNUMBER(Sorties[Coût TTC]),Sorties[Coût TTC],0))</f>
        <v>0</v>
      </c>
      <c r="F361" s="232">
        <f>SUMPRODUCT((Prévisions[0]=A361)*IF(Prévisions[E / S]="Sortie",IF(ISNUMBER(Prévisions[Coût TTC]),Prévisions[Coût TTC],0),0))</f>
        <v>0</v>
      </c>
      <c r="G361" s="234">
        <f t="shared" si="2"/>
        <v>0</v>
      </c>
      <c r="H361" s="235">
        <f t="shared" si="4"/>
        <v>-12260.44</v>
      </c>
      <c r="I361" s="236" t="str">
        <f t="shared" si="3"/>
        <v>⛔  DÉCOUVERT</v>
      </c>
      <c r="J361" s="237">
        <v>357.0</v>
      </c>
      <c r="K361" s="238"/>
    </row>
    <row r="362" ht="18.75" customHeight="1">
      <c r="A362" s="229">
        <f>DATE(Tresorerie!$E$2,1,1)+J361</f>
        <v>46380</v>
      </c>
      <c r="B362" s="230" t="str">
        <f t="shared" si="1"/>
        <v>jeu.</v>
      </c>
      <c r="C362" s="231">
        <f>SUMPRODUCT((Entrées[Date]=A362)*IF(ISNUMBER(Entrées[Montant TTC]),Entrées[Montant TTC],0))</f>
        <v>0</v>
      </c>
      <c r="D362" s="232">
        <f>SUMPRODUCT((Prévisions[0]=A362)*IF(Prévisions[E / S]="Entrée",IF(ISNUMBER(Prévisions[Coût TTC]),Prévisions[Coût TTC],0),0))</f>
        <v>0</v>
      </c>
      <c r="E362" s="233">
        <f>SUMPRODUCT((Sorties[Date]=A362)*IF(ISNUMBER(Sorties[Coût TTC]),Sorties[Coût TTC],0))</f>
        <v>0</v>
      </c>
      <c r="F362" s="232">
        <f>SUMPRODUCT((Prévisions[0]=A362)*IF(Prévisions[E / S]="Sortie",IF(ISNUMBER(Prévisions[Coût TTC]),Prévisions[Coût TTC],0),0))</f>
        <v>0</v>
      </c>
      <c r="G362" s="234">
        <f t="shared" si="2"/>
        <v>0</v>
      </c>
      <c r="H362" s="235">
        <f t="shared" si="4"/>
        <v>-12260.44</v>
      </c>
      <c r="I362" s="236" t="str">
        <f t="shared" si="3"/>
        <v>⛔  DÉCOUVERT</v>
      </c>
      <c r="J362" s="237">
        <v>358.0</v>
      </c>
      <c r="K362" s="238"/>
    </row>
    <row r="363" ht="18.75" customHeight="1">
      <c r="A363" s="229">
        <f>DATE(Tresorerie!$E$2,1,1)+J362</f>
        <v>46381</v>
      </c>
      <c r="B363" s="230" t="str">
        <f t="shared" si="1"/>
        <v>ven.</v>
      </c>
      <c r="C363" s="231">
        <f>SUMPRODUCT((Entrées[Date]=A363)*IF(ISNUMBER(Entrées[Montant TTC]),Entrées[Montant TTC],0))</f>
        <v>0</v>
      </c>
      <c r="D363" s="232">
        <f>SUMPRODUCT((Prévisions[0]=A363)*IF(Prévisions[E / S]="Entrée",IF(ISNUMBER(Prévisions[Coût TTC]),Prévisions[Coût TTC],0),0))</f>
        <v>0</v>
      </c>
      <c r="E363" s="233">
        <f>SUMPRODUCT((Sorties[Date]=A363)*IF(ISNUMBER(Sorties[Coût TTC]),Sorties[Coût TTC],0))</f>
        <v>0</v>
      </c>
      <c r="F363" s="232">
        <f>SUMPRODUCT((Prévisions[0]=A363)*IF(Prévisions[E / S]="Sortie",IF(ISNUMBER(Prévisions[Coût TTC]),Prévisions[Coût TTC],0),0))</f>
        <v>0</v>
      </c>
      <c r="G363" s="234">
        <f t="shared" si="2"/>
        <v>0</v>
      </c>
      <c r="H363" s="235">
        <f t="shared" si="4"/>
        <v>-12260.44</v>
      </c>
      <c r="I363" s="236" t="str">
        <f t="shared" si="3"/>
        <v>⛔  DÉCOUVERT</v>
      </c>
      <c r="J363" s="237">
        <v>359.0</v>
      </c>
      <c r="K363" s="238"/>
    </row>
    <row r="364" ht="18.75" customHeight="1">
      <c r="A364" s="229">
        <f>DATE(Tresorerie!$E$2,1,1)+J363</f>
        <v>46382</v>
      </c>
      <c r="B364" s="239" t="str">
        <f t="shared" si="1"/>
        <v>sam.</v>
      </c>
      <c r="C364" s="231">
        <f>SUMPRODUCT((Entrées[Date]=A364)*IF(ISNUMBER(Entrées[Montant TTC]),Entrées[Montant TTC],0))</f>
        <v>0</v>
      </c>
      <c r="D364" s="232">
        <f>SUMPRODUCT((Prévisions[0]=A364)*IF(Prévisions[E / S]="Entrée",IF(ISNUMBER(Prévisions[Coût TTC]),Prévisions[Coût TTC],0),0))</f>
        <v>0</v>
      </c>
      <c r="E364" s="233">
        <f>SUMPRODUCT((Sorties[Date]=A364)*IF(ISNUMBER(Sorties[Coût TTC]),Sorties[Coût TTC],0))</f>
        <v>0</v>
      </c>
      <c r="F364" s="232">
        <f>SUMPRODUCT((Prévisions[0]=A364)*IF(Prévisions[E / S]="Sortie",IF(ISNUMBER(Prévisions[Coût TTC]),Prévisions[Coût TTC],0),0))</f>
        <v>0</v>
      </c>
      <c r="G364" s="234">
        <f t="shared" si="2"/>
        <v>0</v>
      </c>
      <c r="H364" s="235">
        <f t="shared" si="4"/>
        <v>-12260.44</v>
      </c>
      <c r="I364" s="236" t="str">
        <f t="shared" si="3"/>
        <v>⛔  DÉCOUVERT</v>
      </c>
      <c r="J364" s="237">
        <v>360.0</v>
      </c>
      <c r="K364" s="238"/>
    </row>
    <row r="365" ht="18.75" customHeight="1">
      <c r="A365" s="229">
        <f>DATE(Tresorerie!$E$2,1,1)+J364</f>
        <v>46383</v>
      </c>
      <c r="B365" s="239" t="str">
        <f t="shared" si="1"/>
        <v>dim.</v>
      </c>
      <c r="C365" s="231">
        <f>SUMPRODUCT((Entrées[Date]=A365)*IF(ISNUMBER(Entrées[Montant TTC]),Entrées[Montant TTC],0))</f>
        <v>0</v>
      </c>
      <c r="D365" s="232">
        <f>SUMPRODUCT((Prévisions[0]=A365)*IF(Prévisions[E / S]="Entrée",IF(ISNUMBER(Prévisions[Coût TTC]),Prévisions[Coût TTC],0),0))</f>
        <v>0</v>
      </c>
      <c r="E365" s="233">
        <f>SUMPRODUCT((Sorties[Date]=A365)*IF(ISNUMBER(Sorties[Coût TTC]),Sorties[Coût TTC],0))</f>
        <v>0</v>
      </c>
      <c r="F365" s="232">
        <f>SUMPRODUCT((Prévisions[0]=A365)*IF(Prévisions[E / S]="Sortie",IF(ISNUMBER(Prévisions[Coût TTC]),Prévisions[Coût TTC],0),0))</f>
        <v>0</v>
      </c>
      <c r="G365" s="234">
        <f t="shared" si="2"/>
        <v>0</v>
      </c>
      <c r="H365" s="235">
        <f t="shared" si="4"/>
        <v>-12260.44</v>
      </c>
      <c r="I365" s="236" t="str">
        <f t="shared" si="3"/>
        <v>⛔  DÉCOUVERT</v>
      </c>
      <c r="J365" s="237">
        <v>361.0</v>
      </c>
      <c r="K365" s="238"/>
    </row>
    <row r="366" ht="18.75" customHeight="1">
      <c r="A366" s="229">
        <f>DATE(Tresorerie!$E$2,1,1)+J365</f>
        <v>46384</v>
      </c>
      <c r="B366" s="240" t="str">
        <f t="shared" si="1"/>
        <v>lun.</v>
      </c>
      <c r="C366" s="231">
        <f>SUMPRODUCT((Entrées[Date]=A366)*IF(ISNUMBER(Entrées[Montant TTC]),Entrées[Montant TTC],0))</f>
        <v>0</v>
      </c>
      <c r="D366" s="232">
        <f>SUMPRODUCT((Prévisions[0]=A366)*IF(Prévisions[E / S]="Entrée",IF(ISNUMBER(Prévisions[Coût TTC]),Prévisions[Coût TTC],0),0))</f>
        <v>0</v>
      </c>
      <c r="E366" s="233">
        <f>SUMPRODUCT((Sorties[Date]=A366)*IF(ISNUMBER(Sorties[Coût TTC]),Sorties[Coût TTC],0))</f>
        <v>0</v>
      </c>
      <c r="F366" s="232">
        <f>SUMPRODUCT((Prévisions[0]=A366)*IF(Prévisions[E / S]="Sortie",IF(ISNUMBER(Prévisions[Coût TTC]),Prévisions[Coût TTC],0),0))</f>
        <v>0</v>
      </c>
      <c r="G366" s="234">
        <f t="shared" si="2"/>
        <v>0</v>
      </c>
      <c r="H366" s="235">
        <f t="shared" si="4"/>
        <v>-12260.44</v>
      </c>
      <c r="I366" s="236" t="str">
        <f t="shared" si="3"/>
        <v>⛔  DÉCOUVERT</v>
      </c>
      <c r="J366" s="237">
        <v>362.0</v>
      </c>
      <c r="K366" s="238"/>
    </row>
    <row r="367" ht="18.75" customHeight="1">
      <c r="A367" s="229">
        <f>DATE(Tresorerie!$E$2,1,1)+J366</f>
        <v>46385</v>
      </c>
      <c r="B367" s="230" t="str">
        <f t="shared" si="1"/>
        <v>mar.</v>
      </c>
      <c r="C367" s="231">
        <f>SUMPRODUCT((Entrées[Date]=A367)*IF(ISNUMBER(Entrées[Montant TTC]),Entrées[Montant TTC],0))</f>
        <v>0</v>
      </c>
      <c r="D367" s="232">
        <f>SUMPRODUCT((Prévisions[0]=A367)*IF(Prévisions[E / S]="Entrée",IF(ISNUMBER(Prévisions[Coût TTC]),Prévisions[Coût TTC],0),0))</f>
        <v>0</v>
      </c>
      <c r="E367" s="233">
        <f>SUMPRODUCT((Sorties[Date]=A367)*IF(ISNUMBER(Sorties[Coût TTC]),Sorties[Coût TTC],0))</f>
        <v>0</v>
      </c>
      <c r="F367" s="232">
        <f>SUMPRODUCT((Prévisions[0]=A367)*IF(Prévisions[E / S]="Sortie",IF(ISNUMBER(Prévisions[Coût TTC]),Prévisions[Coût TTC],0),0))</f>
        <v>0</v>
      </c>
      <c r="G367" s="234">
        <f t="shared" si="2"/>
        <v>0</v>
      </c>
      <c r="H367" s="235">
        <f t="shared" si="4"/>
        <v>-12260.44</v>
      </c>
      <c r="I367" s="236" t="str">
        <f t="shared" si="3"/>
        <v>⛔  DÉCOUVERT</v>
      </c>
      <c r="J367" s="237">
        <v>363.0</v>
      </c>
      <c r="K367" s="238"/>
    </row>
    <row r="368" ht="18.75" customHeight="1">
      <c r="A368" s="229">
        <f>DATE(Tresorerie!$E$2,1,1)+J367</f>
        <v>46386</v>
      </c>
      <c r="B368" s="230" t="str">
        <f t="shared" si="1"/>
        <v>mer.</v>
      </c>
      <c r="C368" s="231">
        <f>SUMPRODUCT((Entrées[Date]=A368)*IF(ISNUMBER(Entrées[Montant TTC]),Entrées[Montant TTC],0))</f>
        <v>0</v>
      </c>
      <c r="D368" s="232">
        <f>SUMPRODUCT((Prévisions[0]=A368)*IF(Prévisions[E / S]="Entrée",IF(ISNUMBER(Prévisions[Coût TTC]),Prévisions[Coût TTC],0),0))</f>
        <v>0</v>
      </c>
      <c r="E368" s="233">
        <f>SUMPRODUCT((Sorties[Date]=A368)*IF(ISNUMBER(Sorties[Coût TTC]),Sorties[Coût TTC],0))</f>
        <v>0</v>
      </c>
      <c r="F368" s="232">
        <f>SUMPRODUCT((Prévisions[0]=A368)*IF(Prévisions[E / S]="Sortie",IF(ISNUMBER(Prévisions[Coût TTC]),Prévisions[Coût TTC],0),0))</f>
        <v>0</v>
      </c>
      <c r="G368" s="234">
        <f t="shared" si="2"/>
        <v>0</v>
      </c>
      <c r="H368" s="235">
        <f t="shared" si="4"/>
        <v>-12260.44</v>
      </c>
      <c r="I368" s="236" t="str">
        <f t="shared" si="3"/>
        <v>⛔  DÉCOUVERT</v>
      </c>
      <c r="J368" s="237">
        <v>364.0</v>
      </c>
      <c r="K368" s="238"/>
    </row>
    <row r="369" ht="18.75" customHeight="1">
      <c r="A369" s="229">
        <f>DATE(Tresorerie!$E$2,1,1)+J368</f>
        <v>46387</v>
      </c>
      <c r="B369" s="230" t="str">
        <f t="shared" si="1"/>
        <v>jeu.</v>
      </c>
      <c r="C369" s="231">
        <f>SUMPRODUCT((Entrées[Date]=A369)*IF(ISNUMBER(Entrées[Montant TTC]),Entrées[Montant TTC],0))</f>
        <v>0</v>
      </c>
      <c r="D369" s="232">
        <f>SUMPRODUCT((Prévisions[0]=A369)*IF(Prévisions[E / S]="Entrée",IF(ISNUMBER(Prévisions[Coût TTC]),Prévisions[Coût TTC],0),0))</f>
        <v>0</v>
      </c>
      <c r="E369" s="233">
        <f>SUMPRODUCT((Sorties[Date]=A369)*IF(ISNUMBER(Sorties[Coût TTC]),Sorties[Coût TTC],0))</f>
        <v>0</v>
      </c>
      <c r="F369" s="232">
        <f>SUMPRODUCT((Prévisions[0]=A369)*IF(Prévisions[E / S]="Sortie",IF(ISNUMBER(Prévisions[Coût TTC]),Prévisions[Coût TTC],0),0))</f>
        <v>0</v>
      </c>
      <c r="G369" s="234">
        <f t="shared" si="2"/>
        <v>0</v>
      </c>
      <c r="H369" s="235">
        <f t="shared" si="4"/>
        <v>-12260.44</v>
      </c>
      <c r="I369" s="236" t="str">
        <f t="shared" si="3"/>
        <v>⛔  DÉCOUVERT</v>
      </c>
      <c r="J369" s="241">
        <v>365.0</v>
      </c>
      <c r="K369" s="242"/>
    </row>
    <row r="370" ht="9.0" customHeight="1">
      <c r="A370" s="243"/>
      <c r="B370" s="227"/>
      <c r="C370" s="227"/>
      <c r="D370" s="227"/>
      <c r="E370" s="227"/>
      <c r="F370" s="227"/>
      <c r="G370" s="227"/>
      <c r="H370" s="227"/>
      <c r="I370" s="227"/>
      <c r="J370" s="241">
        <v>365.0</v>
      </c>
      <c r="K370" s="242"/>
    </row>
    <row r="371" ht="18.75" customHeight="1">
      <c r="A371" s="244" t="s">
        <v>220</v>
      </c>
      <c r="B371" s="245"/>
      <c r="C371" s="245"/>
      <c r="D371" s="245"/>
      <c r="E371" s="245"/>
      <c r="F371" s="245"/>
      <c r="G371" s="245"/>
      <c r="H371" s="245"/>
      <c r="I371" s="246"/>
      <c r="J371" s="241">
        <v>365.0</v>
      </c>
      <c r="K371" s="242"/>
    </row>
    <row r="372" ht="18.75" customHeight="1">
      <c r="A372" s="247" t="s">
        <v>221</v>
      </c>
      <c r="B372" s="204"/>
      <c r="C372" s="204"/>
      <c r="D372" s="204"/>
      <c r="E372" s="204"/>
      <c r="F372" s="204"/>
      <c r="G372" s="220"/>
      <c r="H372" s="248">
        <f>COUNTIF(H5:H369,"&lt;0")</f>
        <v>170</v>
      </c>
      <c r="I372" s="249"/>
      <c r="J372" s="241">
        <v>365.0</v>
      </c>
      <c r="K372" s="242"/>
    </row>
    <row r="373" ht="18.75" customHeight="1">
      <c r="A373" s="250" t="s">
        <v>222</v>
      </c>
      <c r="B373" s="204"/>
      <c r="C373" s="204"/>
      <c r="D373" s="204"/>
      <c r="E373" s="204"/>
      <c r="F373" s="204"/>
      <c r="G373" s="220"/>
      <c r="H373" s="251">
        <f>COUNTIFS(H5:H369,"&lt;"&amp;$C$3)</f>
        <v>231</v>
      </c>
      <c r="I373" s="249"/>
      <c r="J373" s="241">
        <v>365.0</v>
      </c>
      <c r="K373" s="242"/>
    </row>
    <row r="374" ht="18.75" customHeight="1">
      <c r="A374" s="247" t="s">
        <v>223</v>
      </c>
      <c r="B374" s="204"/>
      <c r="C374" s="204"/>
      <c r="D374" s="204"/>
      <c r="E374" s="204"/>
      <c r="F374" s="204"/>
      <c r="G374" s="220"/>
      <c r="H374" s="252">
        <f>MIN(H5:H369)</f>
        <v>-12260.44</v>
      </c>
      <c r="I374" s="249"/>
      <c r="J374" s="241">
        <v>365.0</v>
      </c>
      <c r="K374" s="242"/>
    </row>
    <row r="375" ht="18.75" customHeight="1">
      <c r="A375" s="253" t="s">
        <v>224</v>
      </c>
      <c r="B375" s="204"/>
      <c r="C375" s="204"/>
      <c r="D375" s="204"/>
      <c r="E375" s="204"/>
      <c r="F375" s="204"/>
      <c r="G375" s="220"/>
      <c r="H375" s="254">
        <f>MAX(H5:H369)</f>
        <v>3582.6</v>
      </c>
      <c r="I375" s="249"/>
      <c r="J375" s="241">
        <v>365.0</v>
      </c>
      <c r="K375" s="242"/>
    </row>
    <row r="376" ht="18.75" customHeight="1">
      <c r="A376" s="255" t="s">
        <v>225</v>
      </c>
      <c r="B376" s="204"/>
      <c r="C376" s="204"/>
      <c r="D376" s="204"/>
      <c r="E376" s="204"/>
      <c r="F376" s="204"/>
      <c r="G376" s="220"/>
      <c r="H376" s="256">
        <f>AVERAGE(H5:H369)</f>
        <v>-928.7358082</v>
      </c>
      <c r="I376" s="249"/>
      <c r="J376" s="241">
        <v>365.0</v>
      </c>
      <c r="K376" s="242"/>
    </row>
    <row r="377" ht="18.75" customHeight="1">
      <c r="A377" s="257" t="s">
        <v>226</v>
      </c>
      <c r="B377" s="204"/>
      <c r="C377" s="204"/>
      <c r="D377" s="204"/>
      <c r="E377" s="204"/>
      <c r="F377" s="204"/>
      <c r="G377" s="220"/>
      <c r="H377" s="258">
        <f>H369</f>
        <v>-12260.44</v>
      </c>
      <c r="I377" s="249"/>
      <c r="J377" s="241">
        <v>365.0</v>
      </c>
      <c r="K377" s="242"/>
    </row>
  </sheetData>
  <mergeCells count="20">
    <mergeCell ref="A1:I1"/>
    <mergeCell ref="J1:K4"/>
    <mergeCell ref="A2:I2"/>
    <mergeCell ref="A3:B3"/>
    <mergeCell ref="C3:D3"/>
    <mergeCell ref="E3:I3"/>
    <mergeCell ref="A370:I370"/>
    <mergeCell ref="A375:G375"/>
    <mergeCell ref="H375:I375"/>
    <mergeCell ref="A376:G376"/>
    <mergeCell ref="H376:I376"/>
    <mergeCell ref="A377:G377"/>
    <mergeCell ref="H377:I377"/>
    <mergeCell ref="A371:I371"/>
    <mergeCell ref="A372:G372"/>
    <mergeCell ref="H372:I372"/>
    <mergeCell ref="A373:G373"/>
    <mergeCell ref="H373:I373"/>
    <mergeCell ref="A374:G374"/>
    <mergeCell ref="H374:I374"/>
  </mergeCells>
  <conditionalFormatting sqref="H5:H369">
    <cfRule type="colorScale" priority="1">
      <colorScale>
        <cfvo type="formula" val="-1"/>
        <cfvo type="formula" val="0"/>
        <cfvo type="formula" val="3000"/>
        <color rgb="FFE67C73"/>
        <color rgb="FFFFD666"/>
        <color rgb="FF57BB8A"/>
      </colorScale>
    </cfRule>
  </conditionalFormatting>
  <conditionalFormatting sqref="C5:D369">
    <cfRule type="colorScale" priority="2">
      <colorScale>
        <cfvo type="min"/>
        <cfvo type="max"/>
        <color rgb="FFFFFFFF"/>
        <color rgb="FF57BB8A"/>
      </colorScale>
    </cfRule>
  </conditionalFormatting>
  <conditionalFormatting sqref="E5:F369">
    <cfRule type="colorScale" priority="3">
      <colorScale>
        <cfvo type="min"/>
        <cfvo type="max"/>
        <color rgb="FFFFFFFF"/>
        <color rgb="FFE67C73"/>
      </colorScale>
    </cfRule>
  </conditionalFormatting>
  <conditionalFormatting sqref="G5:G369">
    <cfRule type="cellIs" dxfId="9" priority="4" operator="equal">
      <formula>0</formula>
    </cfRule>
  </conditionalFormatting>
  <conditionalFormatting sqref="G5:G369">
    <cfRule type="colorScale" priority="5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7.38"/>
  </cols>
  <sheetData>
    <row r="1">
      <c r="A1" s="259" t="s">
        <v>227</v>
      </c>
      <c r="B1" s="259" t="s">
        <v>228</v>
      </c>
      <c r="C1" s="260" t="s">
        <v>229</v>
      </c>
      <c r="D1" s="260" t="s">
        <v>230</v>
      </c>
    </row>
    <row r="2">
      <c r="A2" s="261" t="s">
        <v>231</v>
      </c>
      <c r="B2" s="262"/>
      <c r="C2" s="262"/>
      <c r="D2" s="262"/>
    </row>
    <row r="3" outlineLevel="1">
      <c r="A3" s="263" t="s">
        <v>232</v>
      </c>
      <c r="B3" s="264">
        <v>4.0</v>
      </c>
      <c r="C3" s="265" t="s">
        <v>233</v>
      </c>
      <c r="D3" s="265">
        <v>200.0</v>
      </c>
    </row>
    <row r="4" outlineLevel="1">
      <c r="A4" s="263" t="s">
        <v>232</v>
      </c>
      <c r="B4" s="264">
        <v>2.0</v>
      </c>
      <c r="C4" s="265" t="s">
        <v>234</v>
      </c>
      <c r="D4" s="265"/>
    </row>
    <row r="5" outlineLevel="1">
      <c r="A5" s="263" t="s">
        <v>235</v>
      </c>
      <c r="B5" s="264">
        <v>4.0</v>
      </c>
      <c r="C5" s="265" t="s">
        <v>236</v>
      </c>
      <c r="D5" s="265">
        <v>30.0</v>
      </c>
    </row>
    <row r="6" outlineLevel="1">
      <c r="A6" s="263" t="s">
        <v>235</v>
      </c>
      <c r="B6" s="264">
        <v>2.0</v>
      </c>
      <c r="C6" s="265" t="s">
        <v>237</v>
      </c>
      <c r="D6" s="265"/>
    </row>
    <row r="7" outlineLevel="1">
      <c r="A7" s="263" t="s">
        <v>238</v>
      </c>
      <c r="B7" s="264">
        <v>8.0</v>
      </c>
      <c r="C7" s="265" t="s">
        <v>239</v>
      </c>
      <c r="D7" s="265">
        <v>20.0</v>
      </c>
    </row>
    <row r="8" outlineLevel="1">
      <c r="A8" s="263" t="s">
        <v>240</v>
      </c>
      <c r="B8" s="264">
        <v>5.0</v>
      </c>
      <c r="C8" s="265" t="s">
        <v>241</v>
      </c>
      <c r="D8" s="265">
        <v>80.0</v>
      </c>
    </row>
    <row r="9" outlineLevel="1">
      <c r="A9" s="263" t="s">
        <v>242</v>
      </c>
      <c r="B9" s="264">
        <v>8.0</v>
      </c>
      <c r="C9" s="265" t="s">
        <v>243</v>
      </c>
      <c r="D9" s="265">
        <v>70.0</v>
      </c>
    </row>
    <row r="10" outlineLevel="1">
      <c r="A10" s="263" t="s">
        <v>242</v>
      </c>
      <c r="B10" s="264">
        <v>4.0</v>
      </c>
      <c r="C10" s="265" t="s">
        <v>244</v>
      </c>
      <c r="D10" s="265"/>
    </row>
    <row r="11" outlineLevel="1">
      <c r="A11" s="263" t="s">
        <v>245</v>
      </c>
      <c r="B11" s="264">
        <v>6.0</v>
      </c>
      <c r="C11" s="265" t="s">
        <v>246</v>
      </c>
      <c r="D11" s="265">
        <v>60.0</v>
      </c>
    </row>
    <row r="12" outlineLevel="1">
      <c r="A12" s="263" t="s">
        <v>245</v>
      </c>
      <c r="B12" s="264">
        <v>2.0</v>
      </c>
      <c r="C12" s="265" t="s">
        <v>247</v>
      </c>
      <c r="D12" s="265"/>
    </row>
    <row r="13" outlineLevel="1">
      <c r="A13" s="263" t="s">
        <v>248</v>
      </c>
      <c r="B13" s="264">
        <v>4.0</v>
      </c>
      <c r="C13" s="265" t="s">
        <v>249</v>
      </c>
      <c r="D13" s="265">
        <v>100.0</v>
      </c>
    </row>
    <row r="14">
      <c r="A14" s="266" t="s">
        <v>250</v>
      </c>
      <c r="B14" s="262"/>
      <c r="C14" s="262"/>
      <c r="D14" s="262"/>
    </row>
    <row r="15" outlineLevel="1">
      <c r="A15" s="263" t="s">
        <v>251</v>
      </c>
      <c r="B15" s="264">
        <v>1.0</v>
      </c>
      <c r="C15" s="265" t="s">
        <v>252</v>
      </c>
      <c r="D15" s="265"/>
    </row>
    <row r="16" outlineLevel="1">
      <c r="A16" s="263" t="s">
        <v>253</v>
      </c>
      <c r="B16" s="264">
        <v>1.0</v>
      </c>
      <c r="C16" s="265" t="s">
        <v>254</v>
      </c>
      <c r="D16" s="265"/>
    </row>
    <row r="17" outlineLevel="1">
      <c r="A17" s="263" t="s">
        <v>255</v>
      </c>
      <c r="B17" s="264">
        <v>1.0</v>
      </c>
      <c r="C17" s="265">
        <v>225.34</v>
      </c>
      <c r="D17" s="265"/>
    </row>
    <row r="18" outlineLevel="1">
      <c r="A18" s="263" t="s">
        <v>256</v>
      </c>
      <c r="B18" s="264">
        <v>1.0</v>
      </c>
      <c r="C18" s="265" t="s">
        <v>257</v>
      </c>
      <c r="D18" s="265">
        <v>120.0</v>
      </c>
    </row>
    <row r="19" outlineLevel="1">
      <c r="A19" s="263" t="s">
        <v>258</v>
      </c>
      <c r="B19" s="264">
        <v>1.0</v>
      </c>
      <c r="C19" s="265" t="s">
        <v>259</v>
      </c>
      <c r="D19" s="265"/>
    </row>
    <row r="20" outlineLevel="1">
      <c r="A20" s="263" t="s">
        <v>256</v>
      </c>
      <c r="B20" s="264">
        <v>1.0</v>
      </c>
      <c r="C20" s="265" t="s">
        <v>260</v>
      </c>
      <c r="D20" s="265"/>
    </row>
    <row r="21" outlineLevel="1">
      <c r="A21" s="263"/>
      <c r="B21" s="264"/>
      <c r="C21" s="265"/>
      <c r="D21" s="265"/>
    </row>
    <row r="22" outlineLevel="1">
      <c r="A22" s="263"/>
      <c r="B22" s="264"/>
      <c r="C22" s="265"/>
      <c r="D22" s="265"/>
    </row>
    <row r="23" outlineLevel="1">
      <c r="A23" s="263"/>
      <c r="B23" s="264"/>
      <c r="C23" s="265"/>
      <c r="D23" s="265"/>
    </row>
    <row r="24">
      <c r="A24" s="267" t="s">
        <v>261</v>
      </c>
      <c r="B24" s="268"/>
      <c r="C24" s="268"/>
    </row>
    <row r="25" outlineLevel="1">
      <c r="A25" s="269" t="s">
        <v>262</v>
      </c>
      <c r="B25" s="270">
        <v>2.0</v>
      </c>
      <c r="C25" s="271">
        <v>59.9</v>
      </c>
      <c r="D25" s="271"/>
    </row>
    <row r="26" outlineLevel="1">
      <c r="A26" s="269" t="s">
        <v>263</v>
      </c>
      <c r="B26" s="270">
        <v>3.0</v>
      </c>
      <c r="C26" s="271">
        <v>26.9</v>
      </c>
      <c r="D26" s="271"/>
    </row>
    <row r="27" outlineLevel="1">
      <c r="A27" s="269" t="s">
        <v>264</v>
      </c>
      <c r="B27" s="270">
        <v>3.0</v>
      </c>
      <c r="C27" s="271">
        <v>6.9</v>
      </c>
      <c r="D27" s="271"/>
    </row>
    <row r="28" outlineLevel="1">
      <c r="A28" s="269" t="s">
        <v>265</v>
      </c>
      <c r="B28" s="270">
        <v>1.0</v>
      </c>
      <c r="C28" s="271">
        <v>16.9</v>
      </c>
      <c r="D28" s="271"/>
    </row>
    <row r="29" outlineLevel="1">
      <c r="A29" s="269" t="s">
        <v>266</v>
      </c>
      <c r="B29" s="270">
        <v>2.0</v>
      </c>
      <c r="C29" s="271">
        <v>4.9</v>
      </c>
      <c r="D29" s="271"/>
    </row>
    <row r="30" outlineLevel="1">
      <c r="A30" s="269" t="s">
        <v>267</v>
      </c>
      <c r="B30" s="270">
        <v>5.0</v>
      </c>
      <c r="C30" s="271">
        <v>8.9</v>
      </c>
      <c r="D30" s="271"/>
    </row>
    <row r="31" outlineLevel="1">
      <c r="A31" s="269" t="s">
        <v>268</v>
      </c>
      <c r="B31" s="270">
        <v>3.0</v>
      </c>
      <c r="C31" s="271">
        <v>2.5</v>
      </c>
      <c r="D31" s="271"/>
    </row>
    <row r="32">
      <c r="A32" s="267" t="s">
        <v>269</v>
      </c>
      <c r="B32" s="268"/>
      <c r="C32" s="268"/>
    </row>
    <row r="33" outlineLevel="1">
      <c r="A33" s="272"/>
      <c r="B33" s="273"/>
      <c r="C33" s="274"/>
      <c r="D33" s="274"/>
    </row>
    <row r="34" outlineLevel="1">
      <c r="A34" s="272"/>
      <c r="B34" s="273"/>
      <c r="C34" s="274"/>
      <c r="D34" s="274"/>
    </row>
    <row r="35" outlineLevel="1">
      <c r="A35" s="272"/>
      <c r="B35" s="273"/>
      <c r="C35" s="274"/>
      <c r="D35" s="274"/>
    </row>
    <row r="36">
      <c r="A36" s="266" t="s">
        <v>270</v>
      </c>
      <c r="B36" s="268"/>
      <c r="C36" s="268"/>
    </row>
    <row r="37" outlineLevel="1">
      <c r="A37" s="275" t="s">
        <v>271</v>
      </c>
      <c r="B37" s="276">
        <v>2.0</v>
      </c>
      <c r="C37" s="274"/>
      <c r="D37" s="277">
        <v>45.0</v>
      </c>
    </row>
    <row r="38" outlineLevel="1">
      <c r="A38" s="275" t="s">
        <v>272</v>
      </c>
      <c r="B38" s="276">
        <v>1.0</v>
      </c>
      <c r="C38" s="274"/>
      <c r="D38" s="277">
        <v>40.0</v>
      </c>
    </row>
    <row r="39" outlineLevel="1">
      <c r="A39" s="272"/>
      <c r="B39" s="273"/>
      <c r="C39" s="274"/>
      <c r="D39" s="274"/>
    </row>
    <row r="41">
      <c r="A41" s="278" t="s">
        <v>273</v>
      </c>
      <c r="B41" s="268"/>
      <c r="C41" s="268"/>
    </row>
    <row r="42" outlineLevel="1">
      <c r="A42" s="272" t="s">
        <v>274</v>
      </c>
      <c r="B42" s="273">
        <v>4.0</v>
      </c>
      <c r="C42" s="277">
        <v>30.0</v>
      </c>
      <c r="D42" s="274">
        <f>125*0.95</f>
        <v>118.75</v>
      </c>
    </row>
    <row r="43" outlineLevel="1">
      <c r="A43" s="272" t="s">
        <v>275</v>
      </c>
      <c r="B43" s="273">
        <v>4.0</v>
      </c>
      <c r="C43" s="274">
        <v>16.5</v>
      </c>
      <c r="D43" s="274">
        <v>16.5</v>
      </c>
    </row>
    <row r="44" outlineLevel="1">
      <c r="A44" s="272" t="s">
        <v>275</v>
      </c>
      <c r="B44" s="273">
        <v>10.0</v>
      </c>
      <c r="C44" s="274">
        <v>16.0</v>
      </c>
      <c r="D44" s="274">
        <v>16.0</v>
      </c>
    </row>
    <row r="45" outlineLevel="1">
      <c r="A45" s="272" t="s">
        <v>276</v>
      </c>
      <c r="B45" s="273">
        <v>20.0</v>
      </c>
      <c r="C45" s="274">
        <v>3.5</v>
      </c>
      <c r="D45" s="274">
        <v>3.5</v>
      </c>
    </row>
    <row r="46" outlineLevel="1">
      <c r="A46" s="275" t="s">
        <v>277</v>
      </c>
      <c r="B46" s="276">
        <v>10.0</v>
      </c>
      <c r="C46" s="274"/>
      <c r="D46" s="277">
        <v>8.0</v>
      </c>
    </row>
    <row r="50" collapsed="1">
      <c r="A50" s="266" t="s">
        <v>278</v>
      </c>
      <c r="B50" s="262"/>
      <c r="C50" s="262"/>
      <c r="D50" s="262"/>
    </row>
    <row r="51" hidden="1" outlineLevel="1">
      <c r="A51" s="263" t="s">
        <v>279</v>
      </c>
      <c r="B51" s="264">
        <v>5.0</v>
      </c>
      <c r="C51" s="265" t="s">
        <v>280</v>
      </c>
      <c r="D51" s="265" t="s">
        <v>280</v>
      </c>
    </row>
    <row r="52" hidden="1" outlineLevel="1">
      <c r="A52" s="263" t="s">
        <v>281</v>
      </c>
      <c r="B52" s="264">
        <v>4.0</v>
      </c>
      <c r="C52" s="265" t="s">
        <v>282</v>
      </c>
      <c r="D52" s="265" t="s">
        <v>282</v>
      </c>
    </row>
    <row r="53" hidden="1" outlineLevel="1">
      <c r="A53" s="263" t="s">
        <v>283</v>
      </c>
      <c r="B53" s="264">
        <v>2.0</v>
      </c>
      <c r="C53" s="265" t="s">
        <v>284</v>
      </c>
      <c r="D53" s="265" t="s">
        <v>284</v>
      </c>
    </row>
    <row r="54" hidden="1" outlineLevel="1">
      <c r="A54" s="263" t="s">
        <v>285</v>
      </c>
      <c r="B54" s="264">
        <v>1.0</v>
      </c>
      <c r="C54" s="265" t="s">
        <v>286</v>
      </c>
      <c r="D54" s="265" t="s">
        <v>286</v>
      </c>
    </row>
    <row r="55" hidden="1" outlineLevel="1">
      <c r="A55" s="263" t="s">
        <v>287</v>
      </c>
      <c r="B55" s="264">
        <v>1.0</v>
      </c>
      <c r="C55" s="265" t="s">
        <v>288</v>
      </c>
      <c r="D55" s="265" t="s">
        <v>288</v>
      </c>
    </row>
    <row r="56" hidden="1" outlineLevel="1">
      <c r="A56" s="263" t="s">
        <v>289</v>
      </c>
      <c r="B56" s="264">
        <v>2.0</v>
      </c>
      <c r="C56" s="265" t="s">
        <v>290</v>
      </c>
      <c r="D56" s="265" t="s">
        <v>290</v>
      </c>
    </row>
    <row r="57" hidden="1" outlineLevel="1">
      <c r="A57" s="263" t="s">
        <v>291</v>
      </c>
      <c r="B57" s="264">
        <v>5.0</v>
      </c>
      <c r="C57" s="265" t="s">
        <v>292</v>
      </c>
      <c r="D57" s="265" t="s">
        <v>292</v>
      </c>
    </row>
    <row r="58" hidden="1" outlineLevel="1">
      <c r="A58" s="263" t="s">
        <v>293</v>
      </c>
      <c r="B58" s="264">
        <v>3.0</v>
      </c>
      <c r="C58" s="265" t="s">
        <v>294</v>
      </c>
      <c r="D58" s="265" t="s">
        <v>294</v>
      </c>
    </row>
    <row r="59" hidden="1" outlineLevel="1">
      <c r="A59" s="263" t="s">
        <v>295</v>
      </c>
      <c r="B59" s="264">
        <v>21.0</v>
      </c>
      <c r="C59" s="265" t="s">
        <v>296</v>
      </c>
      <c r="D59" s="265" t="s">
        <v>296</v>
      </c>
    </row>
    <row r="60" hidden="1" outlineLevel="1">
      <c r="A60" s="263" t="s">
        <v>297</v>
      </c>
      <c r="B60" s="264">
        <v>32.0</v>
      </c>
      <c r="C60" s="265" t="s">
        <v>298</v>
      </c>
      <c r="D60" s="265" t="s">
        <v>298</v>
      </c>
    </row>
    <row r="61" hidden="1" outlineLevel="1">
      <c r="A61" s="263" t="s">
        <v>299</v>
      </c>
      <c r="B61" s="264">
        <v>0.0</v>
      </c>
      <c r="C61" s="265" t="s">
        <v>300</v>
      </c>
      <c r="D61" s="265" t="s">
        <v>300</v>
      </c>
    </row>
    <row r="62" hidden="1" outlineLevel="1">
      <c r="A62" s="263" t="s">
        <v>301</v>
      </c>
      <c r="B62" s="264">
        <v>9.0</v>
      </c>
      <c r="C62" s="265" t="s">
        <v>302</v>
      </c>
      <c r="D62" s="265" t="s">
        <v>302</v>
      </c>
    </row>
    <row r="63" hidden="1" outlineLevel="1">
      <c r="A63" s="263" t="s">
        <v>303</v>
      </c>
      <c r="B63" s="264">
        <v>6.0</v>
      </c>
      <c r="C63" s="265" t="s">
        <v>304</v>
      </c>
      <c r="D63" s="265" t="s">
        <v>304</v>
      </c>
    </row>
    <row r="64" hidden="1" outlineLevel="1">
      <c r="A64" s="263" t="s">
        <v>305</v>
      </c>
      <c r="B64" s="264">
        <v>3.0</v>
      </c>
      <c r="C64" s="265" t="s">
        <v>306</v>
      </c>
      <c r="D64" s="265" t="s">
        <v>306</v>
      </c>
    </row>
    <row r="65" hidden="1" outlineLevel="1">
      <c r="A65" s="263" t="s">
        <v>307</v>
      </c>
      <c r="B65" s="264">
        <v>3.0</v>
      </c>
      <c r="C65" s="265" t="s">
        <v>308</v>
      </c>
      <c r="D65" s="265" t="s">
        <v>308</v>
      </c>
    </row>
    <row r="66" collapsed="1">
      <c r="A66" s="266" t="s">
        <v>309</v>
      </c>
      <c r="B66" s="262"/>
      <c r="C66" s="262"/>
      <c r="D66" s="262"/>
    </row>
    <row r="67" hidden="1" outlineLevel="1">
      <c r="A67" s="263" t="s">
        <v>310</v>
      </c>
      <c r="B67" s="264">
        <v>2.0</v>
      </c>
      <c r="C67" s="265" t="s">
        <v>311</v>
      </c>
      <c r="D67" s="265" t="s">
        <v>311</v>
      </c>
    </row>
    <row r="68" hidden="1" outlineLevel="1">
      <c r="A68" s="263" t="s">
        <v>312</v>
      </c>
      <c r="B68" s="264">
        <v>3.0</v>
      </c>
      <c r="C68" s="265" t="s">
        <v>313</v>
      </c>
      <c r="D68" s="265" t="s">
        <v>313</v>
      </c>
    </row>
    <row r="69" hidden="1" outlineLevel="1">
      <c r="A69" s="263" t="s">
        <v>314</v>
      </c>
      <c r="B69" s="264">
        <v>2.0</v>
      </c>
      <c r="C69" s="265" t="s">
        <v>315</v>
      </c>
      <c r="D69" s="265" t="s">
        <v>315</v>
      </c>
    </row>
    <row r="70" hidden="1" outlineLevel="1">
      <c r="A70" s="263" t="s">
        <v>316</v>
      </c>
      <c r="B70" s="264">
        <v>2.0</v>
      </c>
      <c r="C70" s="265" t="s">
        <v>317</v>
      </c>
      <c r="D70" s="265" t="s">
        <v>317</v>
      </c>
    </row>
    <row r="71" hidden="1" outlineLevel="1">
      <c r="A71" s="263" t="s">
        <v>318</v>
      </c>
      <c r="B71" s="264">
        <v>3.0</v>
      </c>
      <c r="C71" s="265" t="s">
        <v>319</v>
      </c>
      <c r="D71" s="265" t="s">
        <v>319</v>
      </c>
    </row>
    <row r="72">
      <c r="A72" s="266" t="s">
        <v>320</v>
      </c>
      <c r="B72" s="262"/>
      <c r="C72" s="262"/>
      <c r="D72" s="262"/>
    </row>
    <row r="74">
      <c r="A74" s="262" t="s">
        <v>321</v>
      </c>
      <c r="B74" s="268"/>
      <c r="C74" s="268"/>
      <c r="D74" s="268"/>
    </row>
    <row r="75">
      <c r="A75" s="263" t="s">
        <v>322</v>
      </c>
      <c r="B75" s="276">
        <v>2.0</v>
      </c>
      <c r="C75" s="265">
        <v>0.0</v>
      </c>
      <c r="D75" s="265">
        <v>45.0</v>
      </c>
    </row>
    <row r="76">
      <c r="A76" s="269" t="s">
        <v>323</v>
      </c>
      <c r="B76" s="276">
        <v>2.0</v>
      </c>
      <c r="C76" s="265">
        <v>0.0</v>
      </c>
      <c r="D76" s="265">
        <v>45.0</v>
      </c>
    </row>
    <row r="77">
      <c r="A77" s="269"/>
      <c r="B77" s="273"/>
      <c r="C77" s="271"/>
      <c r="D77" s="271"/>
    </row>
    <row r="78">
      <c r="A78" s="269"/>
      <c r="B78" s="273"/>
      <c r="C78" s="271"/>
      <c r="D78" s="271"/>
    </row>
    <row r="79">
      <c r="A79" s="269"/>
      <c r="B79" s="273"/>
      <c r="C79" s="271"/>
      <c r="D79" s="271"/>
    </row>
    <row r="80">
      <c r="A80" s="267" t="s">
        <v>324</v>
      </c>
      <c r="B80" s="268"/>
      <c r="C80" s="268"/>
      <c r="D80" s="268"/>
    </row>
    <row r="81">
      <c r="A81" s="269" t="s">
        <v>325</v>
      </c>
      <c r="B81" s="276">
        <v>1.0</v>
      </c>
      <c r="C81" s="264">
        <v>0.0</v>
      </c>
      <c r="D81" s="264">
        <v>60.0</v>
      </c>
    </row>
    <row r="82">
      <c r="A82" s="263"/>
      <c r="B82" s="276"/>
      <c r="C82" s="270"/>
      <c r="D82" s="264"/>
    </row>
    <row r="84">
      <c r="A84" s="267" t="s">
        <v>324</v>
      </c>
      <c r="B84" s="268"/>
      <c r="C84" s="268"/>
      <c r="D84" s="268"/>
    </row>
    <row r="85">
      <c r="A85" s="263" t="s">
        <v>326</v>
      </c>
      <c r="B85" s="276">
        <v>1.0</v>
      </c>
      <c r="C85" s="264">
        <v>1600.0</v>
      </c>
      <c r="D85" s="264">
        <v>130.0</v>
      </c>
    </row>
    <row r="86">
      <c r="A86" s="263"/>
      <c r="B86" s="276"/>
      <c r="C86" s="270"/>
      <c r="D86" s="264"/>
    </row>
    <row r="87">
      <c r="A87" s="269"/>
      <c r="B87" s="276"/>
      <c r="C87" s="264"/>
      <c r="D87" s="264"/>
    </row>
    <row r="88">
      <c r="A88" s="263"/>
      <c r="B88" s="276"/>
      <c r="C88" s="270"/>
      <c r="D88" s="264"/>
    </row>
    <row r="89">
      <c r="A89" s="269"/>
      <c r="B89" s="276"/>
      <c r="C89" s="264"/>
      <c r="D89" s="264"/>
    </row>
    <row r="90">
      <c r="A90" s="263"/>
      <c r="B90" s="276"/>
      <c r="C90" s="270"/>
      <c r="D90" s="264"/>
    </row>
  </sheetData>
  <mergeCells count="7">
    <mergeCell ref="A24:C24"/>
    <mergeCell ref="A32:C32"/>
    <mergeCell ref="A36:C36"/>
    <mergeCell ref="A41:C41"/>
    <mergeCell ref="A74:D74"/>
    <mergeCell ref="A80:D80"/>
    <mergeCell ref="A84:D8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1" t="s">
        <v>22</v>
      </c>
      <c r="C1" s="25" t="s">
        <v>23</v>
      </c>
      <c r="D1" s="28" t="s">
        <v>24</v>
      </c>
      <c r="E1" s="31" t="s">
        <v>25</v>
      </c>
      <c r="F1" s="34" t="s">
        <v>26</v>
      </c>
      <c r="G1" s="34" t="s">
        <v>27</v>
      </c>
      <c r="H1" s="37" t="s">
        <v>28</v>
      </c>
    </row>
    <row r="2">
      <c r="A2" s="17" t="s">
        <v>9</v>
      </c>
      <c r="B2" s="279">
        <f>Dashboard!$B$10</f>
        <v>3693.82</v>
      </c>
      <c r="C2" s="279">
        <f>Dashboard!$B$11</f>
        <v>2197.08</v>
      </c>
      <c r="D2" s="279">
        <f>Dashboard!$B$12</f>
        <v>-1496.74</v>
      </c>
      <c r="E2" s="279">
        <f>Dashboard!$B$10</f>
        <v>3693.82</v>
      </c>
      <c r="F2" s="279">
        <f>Dashboard!$B$14</f>
        <v>0</v>
      </c>
      <c r="G2" s="279">
        <f>Dashboard!$B$15</f>
        <v>0</v>
      </c>
      <c r="H2" s="279">
        <f>Dashboard!$B$16</f>
        <v>177.1</v>
      </c>
      <c r="I2" s="280"/>
      <c r="J2" s="280"/>
      <c r="K2" s="280"/>
    </row>
    <row r="3">
      <c r="A3" s="17" t="s">
        <v>10</v>
      </c>
      <c r="B3" s="279">
        <f>Dashboard!$C$10</f>
        <v>1270.44</v>
      </c>
      <c r="C3" s="279">
        <f>Dashboard!$C$11</f>
        <v>2530.07</v>
      </c>
      <c r="D3" s="279">
        <f>Dashboard!$C$12</f>
        <v>1259.63</v>
      </c>
      <c r="E3" s="279">
        <f>Dashboard!$C$13</f>
        <v>1436.73</v>
      </c>
      <c r="F3" s="279">
        <f>Dashboard!$C$14</f>
        <v>0</v>
      </c>
      <c r="G3" s="279">
        <f>Dashboard!$C$15</f>
        <v>0</v>
      </c>
      <c r="H3" s="279">
        <f>Dashboard!$C$16</f>
        <v>1436.73</v>
      </c>
    </row>
    <row r="4">
      <c r="A4" s="17" t="s">
        <v>11</v>
      </c>
      <c r="B4" s="279">
        <f>Dashboard!$D$10</f>
        <v>1416.39</v>
      </c>
      <c r="C4" s="279">
        <f>Dashboard!$D$11</f>
        <v>1179.84</v>
      </c>
      <c r="D4" s="279">
        <f>Dashboard!$D$12</f>
        <v>-236.55</v>
      </c>
      <c r="E4" s="279">
        <f>Dashboard!$D$13</f>
        <v>1200.18</v>
      </c>
      <c r="F4" s="279">
        <f>Dashboard!$D$14</f>
        <v>0</v>
      </c>
      <c r="G4" s="279">
        <f>Dashboard!$D$15</f>
        <v>0</v>
      </c>
      <c r="H4" s="279">
        <f>Dashboard!$D$16</f>
        <v>1200.18</v>
      </c>
    </row>
    <row r="5">
      <c r="A5" s="17" t="s">
        <v>12</v>
      </c>
      <c r="B5" s="279">
        <f>Dashboard!$E$10</f>
        <v>1472.04</v>
      </c>
      <c r="C5" s="279">
        <f>Dashboard!$E$11</f>
        <v>1780.4</v>
      </c>
      <c r="D5" s="279">
        <f>Dashboard!$E$12</f>
        <v>308.36</v>
      </c>
      <c r="E5" s="279">
        <f>Dashboard!$E$13</f>
        <v>1508.54</v>
      </c>
      <c r="F5" s="279">
        <f>Dashboard!$E$14</f>
        <v>0</v>
      </c>
      <c r="G5" s="279">
        <f>Dashboard!$E$15</f>
        <v>0</v>
      </c>
      <c r="H5" s="279">
        <f>Dashboard!$E$16</f>
        <v>1508.54</v>
      </c>
    </row>
    <row r="6">
      <c r="A6" s="17" t="s">
        <v>13</v>
      </c>
      <c r="B6" s="279">
        <f>Dashboard!$F$10</f>
        <v>468.99</v>
      </c>
      <c r="C6" s="279">
        <f>Dashboard!$F$11</f>
        <v>906.13</v>
      </c>
      <c r="D6" s="279">
        <f>Dashboard!$F$12</f>
        <v>437.14</v>
      </c>
      <c r="E6" s="279">
        <f>Dashboard!$F$13</f>
        <v>1945.68</v>
      </c>
      <c r="F6" s="279">
        <f>Dashboard!$F$14</f>
        <v>1697.99</v>
      </c>
      <c r="G6" s="279">
        <f>Dashboard!$F$15</f>
        <v>0</v>
      </c>
      <c r="H6" s="279">
        <f>Dashboard!$F$16</f>
        <v>247.69</v>
      </c>
    </row>
    <row r="7">
      <c r="A7" s="17" t="s">
        <v>14</v>
      </c>
      <c r="B7" s="279">
        <f>Dashboard!$G$10</f>
        <v>0</v>
      </c>
      <c r="C7" s="279">
        <f>Dashboard!$G$11</f>
        <v>0</v>
      </c>
      <c r="D7" s="279">
        <f>Dashboard!$G$12</f>
        <v>0</v>
      </c>
      <c r="E7" s="279">
        <f>Dashboard!$G$13</f>
        <v>1945.68</v>
      </c>
      <c r="F7" s="279">
        <f>Dashboard!$G$14</f>
        <v>2412.99</v>
      </c>
      <c r="G7" s="279">
        <f>Dashboard!$G$15</f>
        <v>325.8</v>
      </c>
      <c r="H7" s="279">
        <f>Dashboard!$G$16</f>
        <v>-1839.5</v>
      </c>
    </row>
    <row r="8">
      <c r="A8" s="17" t="s">
        <v>15</v>
      </c>
      <c r="B8" s="279">
        <f>Dashboard!$H$10</f>
        <v>0</v>
      </c>
      <c r="C8" s="279">
        <f>Dashboard!$H$11</f>
        <v>0</v>
      </c>
      <c r="D8" s="279">
        <f>Dashboard!$H$12</f>
        <v>0</v>
      </c>
      <c r="E8" s="279">
        <f>Dashboard!$H$13</f>
        <v>1945.68</v>
      </c>
      <c r="F8" s="279">
        <f>Dashboard!$H$14</f>
        <v>242.99</v>
      </c>
      <c r="G8" s="279">
        <f>Dashboard!$H$15</f>
        <v>1500</v>
      </c>
      <c r="H8" s="279">
        <f>Dashboard!$H$16</f>
        <v>-582.49</v>
      </c>
    </row>
    <row r="9">
      <c r="A9" s="17" t="s">
        <v>16</v>
      </c>
      <c r="B9" s="279">
        <f>Dashboard!$I$10</f>
        <v>0</v>
      </c>
      <c r="C9" s="279">
        <f>Dashboard!$I$11</f>
        <v>0</v>
      </c>
      <c r="D9" s="279">
        <f>Dashboard!$I$12</f>
        <v>0</v>
      </c>
      <c r="E9" s="279">
        <f>Dashboard!$I$13</f>
        <v>1945.68</v>
      </c>
      <c r="F9" s="279">
        <f>Dashboard!$I$14</f>
        <v>2542.99</v>
      </c>
      <c r="G9" s="279">
        <f>Dashboard!$I$15</f>
        <v>1327</v>
      </c>
      <c r="H9" s="279">
        <f>Dashboard!$I$16</f>
        <v>-1798.48</v>
      </c>
    </row>
    <row r="10">
      <c r="A10" s="17" t="s">
        <v>17</v>
      </c>
      <c r="B10" s="279">
        <f>Dashboard!$J$10</f>
        <v>0</v>
      </c>
      <c r="C10" s="279">
        <f>Dashboard!$J$11</f>
        <v>0</v>
      </c>
      <c r="D10" s="279">
        <f>Dashboard!$J$12</f>
        <v>0</v>
      </c>
      <c r="E10" s="279">
        <f>Dashboard!$J$13</f>
        <v>1945.68</v>
      </c>
      <c r="F10" s="279">
        <f>Dashboard!$J$14</f>
        <v>1902.99</v>
      </c>
      <c r="G10" s="279">
        <f>Dashboard!$J$15</f>
        <v>3000</v>
      </c>
      <c r="H10" s="279">
        <f>Dashboard!$J$16</f>
        <v>-701.47</v>
      </c>
    </row>
    <row r="11">
      <c r="A11" s="17" t="s">
        <v>18</v>
      </c>
      <c r="B11" s="279">
        <f>Dashboard!$K$10</f>
        <v>0</v>
      </c>
      <c r="C11" s="279">
        <f>Dashboard!$K$11</f>
        <v>0</v>
      </c>
      <c r="D11" s="279">
        <f>Dashboard!$K$12</f>
        <v>0</v>
      </c>
      <c r="E11" s="279">
        <f>Dashboard!$K$13</f>
        <v>1945.68</v>
      </c>
      <c r="F11" s="279">
        <f>Dashboard!$K$14</f>
        <v>702.99</v>
      </c>
      <c r="G11" s="279">
        <f>Dashboard!$K$15</f>
        <v>0</v>
      </c>
      <c r="H11" s="279">
        <f>Dashboard!$K$16</f>
        <v>-1404.46</v>
      </c>
    </row>
    <row r="12">
      <c r="A12" s="17" t="s">
        <v>19</v>
      </c>
      <c r="B12" s="279">
        <f>Dashboard!$L$10</f>
        <v>0</v>
      </c>
      <c r="C12" s="279">
        <f>Dashboard!$L$11</f>
        <v>0</v>
      </c>
      <c r="D12" s="279">
        <f>Dashboard!$L$12</f>
        <v>0</v>
      </c>
      <c r="E12" s="279">
        <f>Dashboard!$L$13</f>
        <v>1945.68</v>
      </c>
      <c r="F12" s="279">
        <f>Dashboard!$L$14</f>
        <v>3852.99</v>
      </c>
      <c r="G12" s="279">
        <f>Dashboard!$L$15</f>
        <v>0</v>
      </c>
      <c r="H12" s="279">
        <f>Dashboard!$L$16</f>
        <v>-5257.45</v>
      </c>
    </row>
    <row r="13">
      <c r="A13" s="17" t="s">
        <v>20</v>
      </c>
      <c r="B13" s="279">
        <f>Dashboard!$M$10</f>
        <v>0</v>
      </c>
      <c r="C13" s="279">
        <f>Dashboard!$M$11</f>
        <v>0</v>
      </c>
      <c r="D13" s="279">
        <f>Dashboard!$M$12</f>
        <v>0</v>
      </c>
      <c r="E13" s="279">
        <f>Dashboard!$M$13</f>
        <v>1945.68</v>
      </c>
      <c r="F13" s="279">
        <f>Dashboard!$M$14</f>
        <v>7002.99</v>
      </c>
      <c r="G13" s="279">
        <f>Dashboard!$M$15</f>
        <v>0</v>
      </c>
      <c r="H13" s="279">
        <f>Dashboard!$M$16</f>
        <v>-12260.44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4.63"/>
    <col customWidth="1" min="3" max="4" width="18.13"/>
    <col customWidth="1" min="5" max="5" width="20.63"/>
    <col customWidth="1" min="6" max="8" width="18.0"/>
    <col customWidth="1" min="9" max="9" width="17.88"/>
    <col customWidth="1" min="10" max="10" width="17.0"/>
    <col customWidth="1" min="11" max="11" width="18.25"/>
    <col customWidth="1" min="12" max="12" width="19.38"/>
    <col customWidth="1" min="13" max="13" width="17.38"/>
    <col customWidth="1" min="14" max="14" width="14.0"/>
    <col customWidth="1" min="15" max="15" width="17.75"/>
    <col customWidth="1" min="16" max="16" width="16.0"/>
  </cols>
  <sheetData>
    <row r="1">
      <c r="A1" s="281" t="s">
        <v>327</v>
      </c>
      <c r="E1" s="282" t="s">
        <v>328</v>
      </c>
      <c r="I1" s="283" t="s">
        <v>329</v>
      </c>
    </row>
    <row r="2">
      <c r="A2" s="284" t="s">
        <v>71</v>
      </c>
      <c r="B2" s="284" t="s">
        <v>76</v>
      </c>
      <c r="C2" s="284" t="s">
        <v>90</v>
      </c>
      <c r="D2" s="284" t="s">
        <v>108</v>
      </c>
      <c r="E2" s="284" t="s">
        <v>53</v>
      </c>
      <c r="F2" s="284" t="s">
        <v>330</v>
      </c>
      <c r="G2" s="284" t="s">
        <v>66</v>
      </c>
      <c r="H2" s="284" t="s">
        <v>60</v>
      </c>
      <c r="I2" s="285" t="s">
        <v>71</v>
      </c>
      <c r="J2" s="285" t="s">
        <v>76</v>
      </c>
      <c r="K2" s="285" t="s">
        <v>90</v>
      </c>
      <c r="L2" s="285" t="s">
        <v>108</v>
      </c>
      <c r="M2" s="286" t="s">
        <v>53</v>
      </c>
      <c r="N2" s="286" t="s">
        <v>330</v>
      </c>
      <c r="O2" s="286" t="s">
        <v>66</v>
      </c>
      <c r="P2" s="286" t="s">
        <v>60</v>
      </c>
    </row>
    <row r="3">
      <c r="A3" s="287" t="s">
        <v>72</v>
      </c>
      <c r="B3" s="287" t="s">
        <v>185</v>
      </c>
      <c r="C3" s="287" t="s">
        <v>104</v>
      </c>
      <c r="D3" s="287" t="s">
        <v>117</v>
      </c>
      <c r="E3" s="287" t="s">
        <v>54</v>
      </c>
      <c r="F3" s="287" t="s">
        <v>331</v>
      </c>
      <c r="G3" s="287" t="s">
        <v>67</v>
      </c>
      <c r="H3" s="287" t="s">
        <v>60</v>
      </c>
      <c r="I3" s="287" t="s">
        <v>72</v>
      </c>
      <c r="J3" s="287" t="s">
        <v>185</v>
      </c>
      <c r="K3" s="287" t="s">
        <v>104</v>
      </c>
      <c r="L3" s="287" t="s">
        <v>117</v>
      </c>
      <c r="M3" s="287" t="s">
        <v>54</v>
      </c>
      <c r="N3" s="287" t="s">
        <v>330</v>
      </c>
      <c r="O3" s="287" t="s">
        <v>66</v>
      </c>
      <c r="P3" s="287" t="s">
        <v>60</v>
      </c>
    </row>
    <row r="4">
      <c r="A4" s="287" t="s">
        <v>183</v>
      </c>
      <c r="B4" s="287" t="s">
        <v>80</v>
      </c>
      <c r="C4" s="287" t="s">
        <v>91</v>
      </c>
      <c r="D4" s="287" t="s">
        <v>189</v>
      </c>
      <c r="E4" s="287" t="s">
        <v>104</v>
      </c>
      <c r="I4" s="287" t="s">
        <v>183</v>
      </c>
      <c r="J4" s="287" t="s">
        <v>80</v>
      </c>
      <c r="K4" s="287" t="s">
        <v>91</v>
      </c>
      <c r="L4" s="287" t="s">
        <v>189</v>
      </c>
      <c r="M4" s="287" t="s">
        <v>104</v>
      </c>
    </row>
    <row r="5">
      <c r="A5" s="287" t="s">
        <v>54</v>
      </c>
      <c r="B5" s="287" t="s">
        <v>186</v>
      </c>
      <c r="C5" s="287" t="s">
        <v>120</v>
      </c>
      <c r="D5" s="287" t="s">
        <v>109</v>
      </c>
      <c r="E5" s="287"/>
      <c r="I5" s="287" t="s">
        <v>54</v>
      </c>
      <c r="J5" s="287" t="s">
        <v>186</v>
      </c>
      <c r="L5" s="287" t="s">
        <v>109</v>
      </c>
      <c r="M5" s="287"/>
    </row>
    <row r="6">
      <c r="B6" s="287" t="s">
        <v>136</v>
      </c>
      <c r="D6" s="287" t="s">
        <v>113</v>
      </c>
      <c r="J6" s="287" t="s">
        <v>136</v>
      </c>
    </row>
    <row r="7">
      <c r="B7" s="287" t="s">
        <v>77</v>
      </c>
      <c r="J7" s="287" t="s">
        <v>77</v>
      </c>
    </row>
    <row r="8">
      <c r="B8" s="287" t="s">
        <v>85</v>
      </c>
      <c r="J8" s="287" t="s">
        <v>85</v>
      </c>
    </row>
  </sheetData>
  <mergeCells count="3">
    <mergeCell ref="A1:D1"/>
    <mergeCell ref="E1:H1"/>
    <mergeCell ref="I1:P1"/>
  </mergeCells>
  <drawing r:id="rId1"/>
</worksheet>
</file>