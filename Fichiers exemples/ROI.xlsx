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ériel" sheetId="1" r:id="rId4"/>
    <sheet state="visible" name="Visualisation" sheetId="2" r:id="rId5"/>
  </sheets>
  <definedNames>
    <definedName name="_xlchart.v1.1">Visualisation!$C$4:$AL$4</definedName>
    <definedName name="_xlchart.v1.0">Visualisation!$C$2:$AL$2</definedName>
    <definedName name="_xlchart.v1.3">Visualisation!$C$4:$AL$4</definedName>
    <definedName name="_xlchart.v1.2">Visualisation!$C$2:$AL$2</definedName>
  </definedNames>
  <calcPr/>
  <extLst>
    <ext uri="GoogleSheetsCustomDataVersion2">
      <go:sheetsCustomData xmlns:go="http://customooxmlschemas.google.com/" r:id="rId6" roundtripDataChecksum="vm3A3nFlXxCX+D/nEcuGMTv7NkbksegBwP1ioI9NZB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vive le rj45
======</t>
      </text>
    </comment>
    <comment authorId="0" ref="C4">
      <text>
        <t xml:space="preserve">2 lyres : 636€
1 flight (2 lyres) : 170€
======</t>
      </text>
    </comment>
    <comment authorId="0" ref="C5">
      <text>
        <t xml:space="preserve">2 wash : 372€
1 flight (2 wash) : 170€
======</t>
      </text>
    </comment>
    <comment authorId="0" ref="C6">
      <text>
        <t xml:space="preserve">1 barre : 473€
1 flight (2 barres) : 277€
======</t>
      </text>
    </comment>
  </commentList>
</comments>
</file>

<file path=xl/sharedStrings.xml><?xml version="1.0" encoding="utf-8"?>
<sst xmlns="http://schemas.openxmlformats.org/spreadsheetml/2006/main" count="38" uniqueCount="37">
  <si>
    <t>Nom</t>
  </si>
  <si>
    <t>Coût initial €</t>
  </si>
  <si>
    <t>Coût de maintenance (€/an)</t>
  </si>
  <si>
    <t>Durée de l'investissement (année)</t>
  </si>
  <si>
    <t>Prix de location (€)</t>
  </si>
  <si>
    <t>Prix de location (-20%) (€)</t>
  </si>
  <si>
    <t>Volume de location (an)</t>
  </si>
  <si>
    <t>Prix de revente</t>
  </si>
  <si>
    <t>Coût annuel (€)</t>
  </si>
  <si>
    <t>Gains annuels (€)</t>
  </si>
  <si>
    <t>ROI</t>
  </si>
  <si>
    <t>Coût de location (€)</t>
  </si>
  <si>
    <t>Gain sans achat</t>
  </si>
  <si>
    <t>Gains si achat</t>
  </si>
  <si>
    <t>Mois avant rentabilité</t>
  </si>
  <si>
    <t>Confort</t>
  </si>
  <si>
    <t>CDJ3000x</t>
  </si>
  <si>
    <t>Shehds 10R + flight</t>
  </si>
  <si>
    <t>Shehds 19x15 +flight</t>
  </si>
  <si>
    <t>Shehds Barre 12x40 + flight</t>
  </si>
  <si>
    <t>Shehds Blinder 2 eyes</t>
  </si>
  <si>
    <t>Laser 10W</t>
  </si>
  <si>
    <t>FB4</t>
  </si>
  <si>
    <t>Pas de FB4 disponible sur toulouse + utile pour les shows</t>
  </si>
  <si>
    <t>Midas M32R + flight</t>
  </si>
  <si>
    <t>RJ45 touret high quality</t>
  </si>
  <si>
    <t>Midas DL32</t>
  </si>
  <si>
    <t>Xone96</t>
  </si>
  <si>
    <t>Ou A9</t>
  </si>
  <si>
    <t>DJM A9</t>
  </si>
  <si>
    <t>Ou Xone96</t>
  </si>
  <si>
    <t>Brouillard (Briteq BT Faze 7500)</t>
  </si>
  <si>
    <t>Logiciel Beyond</t>
  </si>
  <si>
    <t>Permet la préparation des shows lights en avance</t>
  </si>
  <si>
    <t>Praticable</t>
  </si>
  <si>
    <t>Trimestre</t>
  </si>
  <si>
    <t>Somme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</si>
</sst>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b/>
      <color theme="1"/>
      <name val="Aptos Narrow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FC000"/>
      </patternFill>
    </fill>
    <fill>
      <patternFill patternType="solid">
        <fgColor theme="9"/>
        <bgColor theme="9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E8E8E8"/>
        <bgColor rgb="FFE8E8E8"/>
      </patternFill>
    </fill>
    <fill>
      <patternFill patternType="solid">
        <fgColor rgb="FFFAE2D5"/>
        <bgColor rgb="FFFAE2D5"/>
      </patternFill>
    </fill>
    <fill>
      <patternFill patternType="solid">
        <fgColor rgb="FFFFF1C5"/>
        <bgColor rgb="FFFFF1C5"/>
      </patternFill>
    </fill>
    <fill>
      <patternFill patternType="solid">
        <fgColor rgb="FFD9F2D0"/>
        <bgColor rgb="FFD9F2D0"/>
      </patternFill>
    </fill>
    <fill>
      <patternFill patternType="solid">
        <fgColor rgb="FFCAEDFB"/>
        <bgColor rgb="FFCAEDFB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1" xfId="0" applyFont="1" applyNumberFormat="1"/>
    <xf borderId="0" fillId="0" fontId="2" numFmtId="9" xfId="0" applyFont="1" applyNumberFormat="1"/>
    <xf borderId="0" fillId="0" fontId="1" numFmtId="0" xfId="0" applyAlignment="1" applyFont="1">
      <alignment horizontal="left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4" numFmtId="1" xfId="0" applyAlignment="1" applyBorder="1" applyFont="1" applyNumberFormat="1">
      <alignment horizontal="center" readingOrder="0" shrinkToFit="0" vertical="center" wrapText="1"/>
    </xf>
    <xf borderId="1" fillId="5" fontId="4" numFmtId="1" xfId="0" applyAlignment="1" applyBorder="1" applyFont="1" applyNumberFormat="1">
      <alignment horizontal="center" readingOrder="0" shrinkToFit="0" vertical="center" wrapText="1"/>
    </xf>
    <xf borderId="1" fillId="6" fontId="3" numFmtId="9" xfId="0" applyAlignment="1" applyBorder="1" applyFill="1" applyFont="1" applyNumberForma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vertical="center"/>
    </xf>
    <xf borderId="1" fillId="8" fontId="5" numFmtId="0" xfId="0" applyAlignment="1" applyBorder="1" applyFill="1" applyFont="1">
      <alignment horizontal="center" readingOrder="0" vertical="center"/>
    </xf>
    <xf borderId="1" fillId="9" fontId="5" numFmtId="1" xfId="0" applyAlignment="1" applyBorder="1" applyFill="1" applyFont="1" applyNumberFormat="1">
      <alignment horizontal="center" readingOrder="0" vertical="center"/>
    </xf>
    <xf borderId="1" fillId="9" fontId="5" numFmtId="0" xfId="0" applyAlignment="1" applyBorder="1" applyFont="1">
      <alignment horizontal="center" readingOrder="0" vertical="center"/>
    </xf>
    <xf borderId="1" fillId="10" fontId="5" numFmtId="0" xfId="0" applyAlignment="1" applyBorder="1" applyFill="1" applyFont="1">
      <alignment horizontal="center" readingOrder="0" vertical="center"/>
    </xf>
    <xf borderId="1" fillId="11" fontId="5" numFmtId="0" xfId="0" applyAlignment="1" applyBorder="1" applyFill="1" applyFont="1">
      <alignment horizontal="center" readingOrder="0" vertical="center"/>
    </xf>
    <xf borderId="1" fillId="9" fontId="2" numFmtId="1" xfId="0" applyAlignment="1" applyBorder="1" applyFont="1" applyNumberFormat="1">
      <alignment horizontal="center" vertical="center"/>
    </xf>
    <xf borderId="1" fillId="11" fontId="2" numFmtId="1" xfId="0" applyAlignment="1" applyBorder="1" applyFont="1" applyNumberFormat="1">
      <alignment horizontal="center" vertical="center"/>
    </xf>
    <xf borderId="1" fillId="12" fontId="2" numFmtId="9" xfId="0" applyAlignment="1" applyBorder="1" applyFill="1" applyFont="1" applyNumberFormat="1">
      <alignment horizontal="center" vertical="center"/>
    </xf>
    <xf borderId="1" fillId="11" fontId="5" numFmtId="1" xfId="0" applyAlignment="1" applyBorder="1" applyFont="1" applyNumberFormat="1">
      <alignment horizontal="center" readingOrder="0" vertical="center"/>
    </xf>
    <xf borderId="1" fillId="13" fontId="5" numFmtId="1" xfId="0" applyAlignment="1" applyBorder="1" applyFill="1" applyFont="1" applyNumberFormat="1">
      <alignment horizontal="center" readingOrder="0" vertical="center"/>
    </xf>
    <xf borderId="0" fillId="0" fontId="2" numFmtId="0" xfId="0" applyAlignment="1" applyFont="1">
      <alignment horizontal="left" vertical="center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left" readingOrder="0" vertical="center"/>
    </xf>
    <xf borderId="1" fillId="8" fontId="2" numFmtId="0" xfId="0" applyAlignment="1" applyBorder="1" applyFont="1">
      <alignment horizontal="center" readingOrder="0" vertical="center"/>
    </xf>
    <xf borderId="1" fillId="9" fontId="2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1" numFmtId="0" xfId="0" applyFont="1"/>
    <xf borderId="0" fillId="14" fontId="7" numFmtId="0" xfId="0" applyAlignment="1" applyFill="1" applyFont="1">
      <alignment readingOrder="0"/>
    </xf>
    <xf borderId="0" fillId="14" fontId="8" numFmtId="1" xfId="0" applyFont="1" applyNumberFormat="1"/>
  </cellXfs>
  <cellStyles count="1">
    <cellStyle xfId="0" name="Normal" builtinId="0"/>
  </cellStyles>
  <dxfs count="2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.75"/>
    <col customWidth="1" min="2" max="2" width="41.38"/>
    <col customWidth="1" min="3" max="3" width="10.63"/>
    <col customWidth="1" min="4" max="4" width="17.75"/>
    <col customWidth="1" min="5" max="5" width="15.25"/>
    <col customWidth="1" min="6" max="9" width="10.63"/>
    <col customWidth="1" min="10" max="10" width="1.88"/>
    <col customWidth="1" min="11" max="12" width="10.63"/>
    <col customWidth="1" min="13" max="13" width="11.5"/>
    <col customWidth="1" min="14" max="14" width="2.0"/>
    <col customWidth="1" min="15" max="17" width="10.63"/>
    <col customWidth="1" min="18" max="18" width="1.75"/>
    <col customWidth="1" min="19" max="19" width="10.63"/>
    <col customWidth="1" min="20" max="20" width="2.5"/>
    <col customWidth="1" min="21" max="21" width="48.0"/>
    <col customWidth="1" min="22" max="27" width="10.63"/>
  </cols>
  <sheetData>
    <row r="1" ht="14.25" customHeight="1">
      <c r="K1" s="1"/>
      <c r="L1" s="1"/>
      <c r="M1" s="2"/>
      <c r="T1" s="3"/>
    </row>
    <row r="2" ht="14.25" customHeight="1">
      <c r="A2" s="4"/>
      <c r="B2" s="5" t="s">
        <v>0</v>
      </c>
      <c r="C2" s="6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8" t="s">
        <v>6</v>
      </c>
      <c r="I2" s="8" t="s">
        <v>7</v>
      </c>
      <c r="J2" s="10"/>
      <c r="K2" s="11" t="s">
        <v>8</v>
      </c>
      <c r="L2" s="12" t="s">
        <v>9</v>
      </c>
      <c r="M2" s="13" t="s">
        <v>10</v>
      </c>
      <c r="N2" s="14"/>
      <c r="O2" s="6" t="s">
        <v>11</v>
      </c>
      <c r="P2" s="8" t="s">
        <v>12</v>
      </c>
      <c r="Q2" s="8" t="s">
        <v>13</v>
      </c>
      <c r="R2" s="4"/>
      <c r="S2" s="15" t="s">
        <v>14</v>
      </c>
      <c r="T2" s="16"/>
      <c r="U2" s="14" t="s">
        <v>15</v>
      </c>
      <c r="V2" s="4"/>
      <c r="W2" s="4"/>
      <c r="X2" s="4"/>
      <c r="Y2" s="4"/>
      <c r="Z2" s="4"/>
      <c r="AA2" s="4"/>
    </row>
    <row r="3" ht="14.25" customHeight="1">
      <c r="A3" s="17"/>
      <c r="B3" s="18" t="s">
        <v>16</v>
      </c>
      <c r="C3" s="19">
        <v>3000.0</v>
      </c>
      <c r="D3" s="20">
        <v>200.0</v>
      </c>
      <c r="E3" s="21">
        <v>3.0</v>
      </c>
      <c r="F3" s="22">
        <v>120.0</v>
      </c>
      <c r="G3" s="22">
        <f t="shared" ref="G3:G21" si="1">F3*0.8</f>
        <v>96</v>
      </c>
      <c r="H3" s="22">
        <v>6.0</v>
      </c>
      <c r="I3" s="22">
        <v>2000.0</v>
      </c>
      <c r="J3" s="17"/>
      <c r="K3" s="23">
        <f t="shared" ref="K3:K21" si="2">(C3-I3)/E3+D3</f>
        <v>533.3333333</v>
      </c>
      <c r="L3" s="24">
        <f t="shared" ref="L3:L21" si="3">G3*H3</f>
        <v>576</v>
      </c>
      <c r="M3" s="25">
        <f t="shared" ref="M3:M21" si="4">(L3-K3)/L3</f>
        <v>0.07407407407</v>
      </c>
      <c r="N3" s="17"/>
      <c r="O3" s="20">
        <f>120*0.65</f>
        <v>78</v>
      </c>
      <c r="P3" s="26">
        <f t="shared" ref="P3:P21" si="5">IF(O3&lt;&gt;"",H3*E3*(G3-O3),0)</f>
        <v>324</v>
      </c>
      <c r="Q3" s="26">
        <f t="shared" ref="Q3:Q21" si="6">-C3-D3*E3+G3*H3*E3+I3</f>
        <v>128</v>
      </c>
      <c r="R3" s="17"/>
      <c r="S3" s="27">
        <f t="shared" ref="S3:S21" si="7">(-C3+I3)/(D3/12-F3*H3/12)</f>
        <v>23.07692308</v>
      </c>
      <c r="T3" s="28"/>
      <c r="U3" s="17"/>
      <c r="V3" s="17"/>
      <c r="W3" s="17"/>
      <c r="X3" s="17"/>
      <c r="Y3" s="17"/>
      <c r="Z3" s="17"/>
      <c r="AA3" s="17"/>
    </row>
    <row r="4" ht="14.25" customHeight="1">
      <c r="B4" s="18" t="s">
        <v>17</v>
      </c>
      <c r="C4" s="19">
        <f>( 636+170)/2</f>
        <v>403</v>
      </c>
      <c r="D4" s="20">
        <v>10.0</v>
      </c>
      <c r="E4" s="21">
        <v>3.0</v>
      </c>
      <c r="F4" s="22">
        <v>80.0</v>
      </c>
      <c r="G4" s="22">
        <f t="shared" si="1"/>
        <v>64</v>
      </c>
      <c r="H4" s="22">
        <v>4.0</v>
      </c>
      <c r="I4" s="22">
        <v>100.0</v>
      </c>
      <c r="J4" s="17"/>
      <c r="K4" s="23">
        <f t="shared" si="2"/>
        <v>111</v>
      </c>
      <c r="L4" s="24">
        <f t="shared" si="3"/>
        <v>256</v>
      </c>
      <c r="M4" s="25">
        <f t="shared" si="4"/>
        <v>0.56640625</v>
      </c>
      <c r="O4" s="20">
        <v>90.0</v>
      </c>
      <c r="P4" s="26">
        <f t="shared" si="5"/>
        <v>-312</v>
      </c>
      <c r="Q4" s="26">
        <f t="shared" si="6"/>
        <v>435</v>
      </c>
      <c r="S4" s="27">
        <f t="shared" si="7"/>
        <v>11.72903226</v>
      </c>
      <c r="T4" s="28"/>
    </row>
    <row r="5" ht="14.25" customHeight="1">
      <c r="B5" s="18" t="s">
        <v>18</v>
      </c>
      <c r="C5" s="19">
        <f>(372+170)/2</f>
        <v>271</v>
      </c>
      <c r="D5" s="20">
        <v>10.0</v>
      </c>
      <c r="E5" s="21">
        <v>3.0</v>
      </c>
      <c r="F5" s="22">
        <v>60.0</v>
      </c>
      <c r="G5" s="22">
        <f t="shared" si="1"/>
        <v>48</v>
      </c>
      <c r="H5" s="22">
        <v>4.0</v>
      </c>
      <c r="I5" s="22">
        <v>100.0</v>
      </c>
      <c r="J5" s="17"/>
      <c r="K5" s="23">
        <f t="shared" si="2"/>
        <v>67</v>
      </c>
      <c r="L5" s="24">
        <f t="shared" si="3"/>
        <v>192</v>
      </c>
      <c r="M5" s="25">
        <f t="shared" si="4"/>
        <v>0.6510416667</v>
      </c>
      <c r="O5" s="20">
        <v>90.0</v>
      </c>
      <c r="P5" s="26">
        <f t="shared" si="5"/>
        <v>-504</v>
      </c>
      <c r="Q5" s="26">
        <f t="shared" si="6"/>
        <v>375</v>
      </c>
      <c r="S5" s="27">
        <f t="shared" si="7"/>
        <v>8.92173913</v>
      </c>
      <c r="T5" s="28"/>
    </row>
    <row r="6" ht="14.25" customHeight="1">
      <c r="B6" s="18" t="s">
        <v>19</v>
      </c>
      <c r="C6" s="23">
        <f>473+277/2</f>
        <v>611.5</v>
      </c>
      <c r="D6" s="20">
        <v>10.0</v>
      </c>
      <c r="E6" s="21">
        <v>3.0</v>
      </c>
      <c r="F6" s="22">
        <v>100.0</v>
      </c>
      <c r="G6" s="22">
        <f t="shared" si="1"/>
        <v>80</v>
      </c>
      <c r="H6" s="22">
        <v>3.0</v>
      </c>
      <c r="I6" s="22">
        <v>150.0</v>
      </c>
      <c r="J6" s="17"/>
      <c r="K6" s="23">
        <f t="shared" si="2"/>
        <v>163.8333333</v>
      </c>
      <c r="L6" s="24">
        <f t="shared" si="3"/>
        <v>240</v>
      </c>
      <c r="M6" s="25">
        <f t="shared" si="4"/>
        <v>0.3173611111</v>
      </c>
      <c r="O6" s="20">
        <v>120.0</v>
      </c>
      <c r="P6" s="26">
        <f t="shared" si="5"/>
        <v>-360</v>
      </c>
      <c r="Q6" s="26">
        <f t="shared" si="6"/>
        <v>228.5</v>
      </c>
      <c r="S6" s="27">
        <f t="shared" si="7"/>
        <v>19.09655172</v>
      </c>
      <c r="T6" s="28"/>
    </row>
    <row r="7" ht="14.25" customHeight="1">
      <c r="B7" s="18" t="s">
        <v>20</v>
      </c>
      <c r="C7" s="19">
        <v>75.0</v>
      </c>
      <c r="D7" s="20">
        <v>0.0</v>
      </c>
      <c r="E7" s="21">
        <v>3.0</v>
      </c>
      <c r="F7" s="22">
        <v>25.0</v>
      </c>
      <c r="G7" s="22">
        <f t="shared" si="1"/>
        <v>20</v>
      </c>
      <c r="H7" s="22">
        <v>3.0</v>
      </c>
      <c r="I7" s="22">
        <v>10.0</v>
      </c>
      <c r="J7" s="17"/>
      <c r="K7" s="23">
        <f t="shared" si="2"/>
        <v>21.66666667</v>
      </c>
      <c r="L7" s="24">
        <f t="shared" si="3"/>
        <v>60</v>
      </c>
      <c r="M7" s="25">
        <f t="shared" si="4"/>
        <v>0.6388888889</v>
      </c>
      <c r="O7" s="20">
        <f>15*0.65</f>
        <v>9.75</v>
      </c>
      <c r="P7" s="26">
        <f t="shared" si="5"/>
        <v>92.25</v>
      </c>
      <c r="Q7" s="26">
        <f t="shared" si="6"/>
        <v>115</v>
      </c>
      <c r="S7" s="27">
        <f t="shared" si="7"/>
        <v>10.4</v>
      </c>
      <c r="T7" s="28"/>
      <c r="U7" s="29"/>
    </row>
    <row r="8" ht="14.25" customHeight="1">
      <c r="B8" s="18" t="s">
        <v>21</v>
      </c>
      <c r="C8" s="19">
        <v>771.0</v>
      </c>
      <c r="D8" s="20">
        <v>20.0</v>
      </c>
      <c r="E8" s="21">
        <v>3.0</v>
      </c>
      <c r="F8" s="22">
        <v>200.0</v>
      </c>
      <c r="G8" s="22">
        <f t="shared" si="1"/>
        <v>160</v>
      </c>
      <c r="H8" s="22">
        <v>4.0</v>
      </c>
      <c r="I8" s="22">
        <v>200.0</v>
      </c>
      <c r="J8" s="17"/>
      <c r="K8" s="23">
        <f t="shared" si="2"/>
        <v>210.3333333</v>
      </c>
      <c r="L8" s="24">
        <f t="shared" si="3"/>
        <v>640</v>
      </c>
      <c r="M8" s="25">
        <f t="shared" si="4"/>
        <v>0.6713541667</v>
      </c>
      <c r="O8" s="20">
        <v>300.0</v>
      </c>
      <c r="P8" s="26">
        <f t="shared" si="5"/>
        <v>-1680</v>
      </c>
      <c r="Q8" s="26">
        <f t="shared" si="6"/>
        <v>1289</v>
      </c>
      <c r="S8" s="27">
        <f t="shared" si="7"/>
        <v>8.784615385</v>
      </c>
      <c r="T8" s="28"/>
      <c r="U8" s="29"/>
    </row>
    <row r="9" ht="14.25" customHeight="1">
      <c r="B9" s="18" t="s">
        <v>22</v>
      </c>
      <c r="C9" s="19">
        <f>750*0.86</f>
        <v>645</v>
      </c>
      <c r="D9" s="20">
        <v>0.0</v>
      </c>
      <c r="E9" s="21">
        <v>3.0</v>
      </c>
      <c r="F9" s="22">
        <v>60.0</v>
      </c>
      <c r="G9" s="22">
        <f t="shared" si="1"/>
        <v>48</v>
      </c>
      <c r="H9" s="22">
        <v>3.0</v>
      </c>
      <c r="I9" s="22">
        <v>350.0</v>
      </c>
      <c r="J9" s="17"/>
      <c r="K9" s="23">
        <f t="shared" si="2"/>
        <v>98.33333333</v>
      </c>
      <c r="L9" s="24">
        <f t="shared" si="3"/>
        <v>144</v>
      </c>
      <c r="M9" s="25">
        <f t="shared" si="4"/>
        <v>0.3171296296</v>
      </c>
      <c r="O9" s="20">
        <v>135.0</v>
      </c>
      <c r="P9" s="26">
        <f t="shared" si="5"/>
        <v>-783</v>
      </c>
      <c r="Q9" s="26">
        <f t="shared" si="6"/>
        <v>137</v>
      </c>
      <c r="S9" s="27">
        <f t="shared" si="7"/>
        <v>19.66666667</v>
      </c>
      <c r="T9" s="30"/>
      <c r="U9" s="29" t="s">
        <v>23</v>
      </c>
    </row>
    <row r="10" ht="14.25" customHeight="1">
      <c r="B10" s="18" t="s">
        <v>24</v>
      </c>
      <c r="C10" s="19">
        <v>1800.0</v>
      </c>
      <c r="D10" s="20">
        <v>20.0</v>
      </c>
      <c r="E10" s="21">
        <v>3.0</v>
      </c>
      <c r="F10" s="22">
        <v>135.0</v>
      </c>
      <c r="G10" s="22">
        <f t="shared" si="1"/>
        <v>108</v>
      </c>
      <c r="H10" s="22">
        <v>8.0</v>
      </c>
      <c r="I10" s="22">
        <v>1300.0</v>
      </c>
      <c r="J10" s="17"/>
      <c r="K10" s="23">
        <f t="shared" si="2"/>
        <v>186.6666667</v>
      </c>
      <c r="L10" s="24">
        <f t="shared" si="3"/>
        <v>864</v>
      </c>
      <c r="M10" s="25">
        <f t="shared" si="4"/>
        <v>0.7839506173</v>
      </c>
      <c r="O10" s="20">
        <f>134*0.65</f>
        <v>87.1</v>
      </c>
      <c r="P10" s="26">
        <f t="shared" si="5"/>
        <v>501.6</v>
      </c>
      <c r="Q10" s="26">
        <f t="shared" si="6"/>
        <v>2032</v>
      </c>
      <c r="S10" s="27">
        <f t="shared" si="7"/>
        <v>5.660377358</v>
      </c>
      <c r="T10" s="28"/>
      <c r="U10" s="29"/>
    </row>
    <row r="11" ht="14.25" customHeight="1">
      <c r="B11" s="18" t="s">
        <v>25</v>
      </c>
      <c r="C11" s="19">
        <v>240.0</v>
      </c>
      <c r="D11" s="20">
        <v>10.0</v>
      </c>
      <c r="E11" s="21">
        <v>3.0</v>
      </c>
      <c r="F11" s="22">
        <v>40.0</v>
      </c>
      <c r="G11" s="22">
        <f t="shared" si="1"/>
        <v>32</v>
      </c>
      <c r="H11" s="22">
        <v>8.0</v>
      </c>
      <c r="I11" s="22">
        <v>0.0</v>
      </c>
      <c r="J11" s="17"/>
      <c r="K11" s="23">
        <f t="shared" si="2"/>
        <v>90</v>
      </c>
      <c r="L11" s="24">
        <f t="shared" si="3"/>
        <v>256</v>
      </c>
      <c r="M11" s="25">
        <f t="shared" si="4"/>
        <v>0.6484375</v>
      </c>
      <c r="O11" s="20">
        <f>40*0.65</f>
        <v>26</v>
      </c>
      <c r="P11" s="26">
        <f t="shared" si="5"/>
        <v>144</v>
      </c>
      <c r="Q11" s="26">
        <f t="shared" si="6"/>
        <v>498</v>
      </c>
      <c r="S11" s="27">
        <f t="shared" si="7"/>
        <v>9.290322581</v>
      </c>
      <c r="T11" s="28"/>
    </row>
    <row r="12" ht="14.25" customHeight="1">
      <c r="B12" s="18" t="s">
        <v>26</v>
      </c>
      <c r="C12" s="19">
        <v>1400.0</v>
      </c>
      <c r="D12" s="20">
        <v>20.0</v>
      </c>
      <c r="E12" s="21">
        <v>3.0</v>
      </c>
      <c r="F12" s="22">
        <v>70.0</v>
      </c>
      <c r="G12" s="22">
        <f t="shared" si="1"/>
        <v>56</v>
      </c>
      <c r="H12" s="22">
        <v>6.0</v>
      </c>
      <c r="I12" s="22">
        <f>C12*0.7</f>
        <v>980</v>
      </c>
      <c r="J12" s="17"/>
      <c r="K12" s="23">
        <f t="shared" si="2"/>
        <v>160</v>
      </c>
      <c r="L12" s="24">
        <f t="shared" si="3"/>
        <v>336</v>
      </c>
      <c r="M12" s="25">
        <f t="shared" si="4"/>
        <v>0.5238095238</v>
      </c>
      <c r="O12" s="20">
        <f>70.2*0.65</f>
        <v>45.63</v>
      </c>
      <c r="P12" s="26">
        <f t="shared" si="5"/>
        <v>186.66</v>
      </c>
      <c r="Q12" s="26">
        <f t="shared" si="6"/>
        <v>528</v>
      </c>
      <c r="S12" s="27">
        <f t="shared" si="7"/>
        <v>12.6</v>
      </c>
      <c r="T12" s="28"/>
      <c r="U12" s="29"/>
    </row>
    <row r="13" ht="14.25" customHeight="1">
      <c r="B13" s="31" t="s">
        <v>27</v>
      </c>
      <c r="C13" s="19">
        <v>1600.0</v>
      </c>
      <c r="D13" s="32">
        <v>100.0</v>
      </c>
      <c r="E13" s="33">
        <v>3.0</v>
      </c>
      <c r="F13" s="22">
        <v>100.0</v>
      </c>
      <c r="G13" s="22">
        <f t="shared" si="1"/>
        <v>80</v>
      </c>
      <c r="H13" s="22">
        <v>6.0</v>
      </c>
      <c r="I13" s="22">
        <v>1000.0</v>
      </c>
      <c r="J13" s="17"/>
      <c r="K13" s="23">
        <f t="shared" si="2"/>
        <v>300</v>
      </c>
      <c r="L13" s="24">
        <f t="shared" si="3"/>
        <v>480</v>
      </c>
      <c r="M13" s="25">
        <f t="shared" si="4"/>
        <v>0.375</v>
      </c>
      <c r="O13" s="20">
        <v>80.0</v>
      </c>
      <c r="P13" s="26">
        <f t="shared" si="5"/>
        <v>0</v>
      </c>
      <c r="Q13" s="26">
        <f t="shared" si="6"/>
        <v>540</v>
      </c>
      <c r="S13" s="27">
        <f t="shared" si="7"/>
        <v>14.4</v>
      </c>
      <c r="T13" s="28"/>
      <c r="U13" s="29" t="s">
        <v>28</v>
      </c>
    </row>
    <row r="14" ht="14.25" customHeight="1">
      <c r="B14" s="18" t="s">
        <v>29</v>
      </c>
      <c r="C14" s="19">
        <v>2500.0</v>
      </c>
      <c r="D14" s="32">
        <v>100.0</v>
      </c>
      <c r="E14" s="33">
        <v>3.0</v>
      </c>
      <c r="F14" s="22">
        <v>120.0</v>
      </c>
      <c r="G14" s="22">
        <f t="shared" si="1"/>
        <v>96</v>
      </c>
      <c r="H14" s="22">
        <v>6.0</v>
      </c>
      <c r="I14" s="22">
        <v>1800.0</v>
      </c>
      <c r="K14" s="23">
        <f t="shared" si="2"/>
        <v>333.3333333</v>
      </c>
      <c r="L14" s="24">
        <f t="shared" si="3"/>
        <v>576</v>
      </c>
      <c r="M14" s="25">
        <f t="shared" si="4"/>
        <v>0.4212962963</v>
      </c>
      <c r="O14" s="20">
        <f>120*0.65</f>
        <v>78</v>
      </c>
      <c r="P14" s="26">
        <f t="shared" si="5"/>
        <v>324</v>
      </c>
      <c r="Q14" s="26">
        <f t="shared" si="6"/>
        <v>728</v>
      </c>
      <c r="S14" s="27">
        <f t="shared" si="7"/>
        <v>13.5483871</v>
      </c>
      <c r="T14" s="3"/>
      <c r="U14" s="29" t="s">
        <v>30</v>
      </c>
    </row>
    <row r="15" ht="14.25" customHeight="1">
      <c r="B15" s="18" t="s">
        <v>31</v>
      </c>
      <c r="C15" s="19">
        <v>540.0</v>
      </c>
      <c r="D15" s="20">
        <f>20+0.3*20*H15</f>
        <v>56</v>
      </c>
      <c r="E15" s="21">
        <v>3.0</v>
      </c>
      <c r="F15" s="22">
        <v>50.0</v>
      </c>
      <c r="G15" s="22">
        <f t="shared" si="1"/>
        <v>40</v>
      </c>
      <c r="H15" s="22">
        <v>6.0</v>
      </c>
      <c r="I15" s="22">
        <v>250.0</v>
      </c>
      <c r="J15" s="17"/>
      <c r="K15" s="23">
        <f t="shared" si="2"/>
        <v>152.6666667</v>
      </c>
      <c r="L15" s="24">
        <f t="shared" si="3"/>
        <v>240</v>
      </c>
      <c r="M15" s="25">
        <f t="shared" si="4"/>
        <v>0.3638888889</v>
      </c>
      <c r="O15" s="20">
        <v>32.5</v>
      </c>
      <c r="P15" s="26">
        <f t="shared" si="5"/>
        <v>135</v>
      </c>
      <c r="Q15" s="26">
        <f t="shared" si="6"/>
        <v>262</v>
      </c>
      <c r="S15" s="27">
        <f t="shared" si="7"/>
        <v>14.26229508</v>
      </c>
      <c r="T15" s="28"/>
    </row>
    <row r="16" ht="14.25" customHeight="1">
      <c r="B16" s="18" t="s">
        <v>32</v>
      </c>
      <c r="C16" s="19">
        <v>1000.0</v>
      </c>
      <c r="D16" s="20">
        <v>0.0</v>
      </c>
      <c r="E16" s="21">
        <v>3.0</v>
      </c>
      <c r="F16" s="22">
        <v>50.0</v>
      </c>
      <c r="G16" s="22">
        <f t="shared" si="1"/>
        <v>40</v>
      </c>
      <c r="H16" s="22">
        <v>5.0</v>
      </c>
      <c r="I16" s="22">
        <v>0.0</v>
      </c>
      <c r="K16" s="23">
        <f t="shared" si="2"/>
        <v>333.3333333</v>
      </c>
      <c r="L16" s="24">
        <f t="shared" si="3"/>
        <v>200</v>
      </c>
      <c r="M16" s="25">
        <f t="shared" si="4"/>
        <v>-0.6666666667</v>
      </c>
      <c r="O16" s="20">
        <v>110.0</v>
      </c>
      <c r="P16" s="26">
        <f t="shared" si="5"/>
        <v>-1050</v>
      </c>
      <c r="Q16" s="26">
        <f t="shared" si="6"/>
        <v>-400</v>
      </c>
      <c r="S16" s="27">
        <f t="shared" si="7"/>
        <v>48</v>
      </c>
      <c r="T16" s="3"/>
      <c r="U16" s="29" t="s">
        <v>33</v>
      </c>
    </row>
    <row r="17" ht="14.25" customHeight="1">
      <c r="B17" s="18" t="s">
        <v>34</v>
      </c>
      <c r="C17" s="19">
        <v>300.0</v>
      </c>
      <c r="D17" s="20">
        <v>0.0</v>
      </c>
      <c r="E17" s="21">
        <v>3.0</v>
      </c>
      <c r="F17" s="22">
        <v>30.0</v>
      </c>
      <c r="G17" s="22">
        <f t="shared" si="1"/>
        <v>24</v>
      </c>
      <c r="H17" s="22">
        <v>8.0</v>
      </c>
      <c r="I17" s="22">
        <v>200.0</v>
      </c>
      <c r="K17" s="23">
        <f t="shared" si="2"/>
        <v>33.33333333</v>
      </c>
      <c r="L17" s="24">
        <f t="shared" si="3"/>
        <v>192</v>
      </c>
      <c r="M17" s="25">
        <f t="shared" si="4"/>
        <v>0.8263888889</v>
      </c>
      <c r="O17" s="20">
        <f>30*0.65</f>
        <v>19.5</v>
      </c>
      <c r="P17" s="26">
        <f t="shared" si="5"/>
        <v>108</v>
      </c>
      <c r="Q17" s="26">
        <f t="shared" si="6"/>
        <v>476</v>
      </c>
      <c r="S17" s="27">
        <f t="shared" si="7"/>
        <v>5</v>
      </c>
      <c r="T17" s="3"/>
    </row>
    <row r="18" ht="14.25" customHeight="1">
      <c r="B18" s="18"/>
      <c r="C18" s="19"/>
      <c r="D18" s="20"/>
      <c r="E18" s="21"/>
      <c r="F18" s="22"/>
      <c r="G18" s="22">
        <f t="shared" si="1"/>
        <v>0</v>
      </c>
      <c r="H18" s="22"/>
      <c r="I18" s="22"/>
      <c r="K18" s="23" t="str">
        <f t="shared" si="2"/>
        <v>#DIV/0!</v>
      </c>
      <c r="L18" s="24">
        <f t="shared" si="3"/>
        <v>0</v>
      </c>
      <c r="M18" s="25" t="str">
        <f t="shared" si="4"/>
        <v>#DIV/0!</v>
      </c>
      <c r="O18" s="20"/>
      <c r="P18" s="26">
        <f t="shared" si="5"/>
        <v>0</v>
      </c>
      <c r="Q18" s="26">
        <f t="shared" si="6"/>
        <v>0</v>
      </c>
      <c r="S18" s="27" t="str">
        <f t="shared" si="7"/>
        <v>#DIV/0!</v>
      </c>
      <c r="T18" s="3"/>
    </row>
    <row r="19" ht="14.25" customHeight="1">
      <c r="B19" s="31"/>
      <c r="C19" s="19"/>
      <c r="D19" s="32"/>
      <c r="E19" s="33"/>
      <c r="F19" s="22"/>
      <c r="G19" s="22">
        <f t="shared" si="1"/>
        <v>0</v>
      </c>
      <c r="H19" s="34"/>
      <c r="I19" s="22"/>
      <c r="K19" s="23" t="str">
        <f t="shared" si="2"/>
        <v>#DIV/0!</v>
      </c>
      <c r="L19" s="24">
        <f t="shared" si="3"/>
        <v>0</v>
      </c>
      <c r="M19" s="25" t="str">
        <f t="shared" si="4"/>
        <v>#DIV/0!</v>
      </c>
      <c r="O19" s="20"/>
      <c r="P19" s="26">
        <f t="shared" si="5"/>
        <v>0</v>
      </c>
      <c r="Q19" s="26">
        <f t="shared" si="6"/>
        <v>0</v>
      </c>
      <c r="S19" s="27" t="str">
        <f t="shared" si="7"/>
        <v>#DIV/0!</v>
      </c>
      <c r="T19" s="3"/>
    </row>
    <row r="20" ht="14.25" customHeight="1">
      <c r="B20" s="31"/>
      <c r="C20" s="19"/>
      <c r="D20" s="32"/>
      <c r="E20" s="33"/>
      <c r="F20" s="22"/>
      <c r="G20" s="22">
        <f t="shared" si="1"/>
        <v>0</v>
      </c>
      <c r="H20" s="34"/>
      <c r="I20" s="22"/>
      <c r="K20" s="23" t="str">
        <f t="shared" si="2"/>
        <v>#DIV/0!</v>
      </c>
      <c r="L20" s="24">
        <f t="shared" si="3"/>
        <v>0</v>
      </c>
      <c r="M20" s="25" t="str">
        <f t="shared" si="4"/>
        <v>#DIV/0!</v>
      </c>
      <c r="O20" s="20"/>
      <c r="P20" s="26">
        <f t="shared" si="5"/>
        <v>0</v>
      </c>
      <c r="Q20" s="26">
        <f t="shared" si="6"/>
        <v>0</v>
      </c>
      <c r="S20" s="27" t="str">
        <f t="shared" si="7"/>
        <v>#DIV/0!</v>
      </c>
      <c r="T20" s="3"/>
    </row>
    <row r="21" ht="14.25" customHeight="1">
      <c r="B21" s="31"/>
      <c r="C21" s="19"/>
      <c r="D21" s="32"/>
      <c r="E21" s="33"/>
      <c r="F21" s="22"/>
      <c r="G21" s="22">
        <f t="shared" si="1"/>
        <v>0</v>
      </c>
      <c r="H21" s="34"/>
      <c r="I21" s="22"/>
      <c r="K21" s="23" t="str">
        <f t="shared" si="2"/>
        <v>#DIV/0!</v>
      </c>
      <c r="L21" s="24">
        <f t="shared" si="3"/>
        <v>0</v>
      </c>
      <c r="M21" s="25" t="str">
        <f t="shared" si="4"/>
        <v>#DIV/0!</v>
      </c>
      <c r="O21" s="20"/>
      <c r="P21" s="26">
        <f t="shared" si="5"/>
        <v>0</v>
      </c>
      <c r="Q21" s="26">
        <f t="shared" si="6"/>
        <v>0</v>
      </c>
      <c r="S21" s="27" t="str">
        <f t="shared" si="7"/>
        <v>#DIV/0!</v>
      </c>
      <c r="T21" s="3"/>
    </row>
    <row r="22" ht="14.25" customHeight="1">
      <c r="G22" s="29"/>
      <c r="H22" s="29"/>
      <c r="K22" s="1"/>
      <c r="L22" s="1"/>
      <c r="M22" s="2"/>
      <c r="T22" s="3"/>
    </row>
    <row r="23" ht="14.25" customHeight="1">
      <c r="G23" s="29"/>
      <c r="H23" s="29"/>
      <c r="K23" s="1"/>
      <c r="L23" s="1"/>
      <c r="M23" s="2"/>
      <c r="T23" s="3"/>
    </row>
    <row r="24" ht="14.25" customHeight="1">
      <c r="C24" s="29"/>
      <c r="D24" s="29"/>
      <c r="E24" s="29"/>
      <c r="G24" s="29"/>
      <c r="H24" s="29"/>
      <c r="K24" s="1"/>
      <c r="L24" s="1"/>
      <c r="M24" s="2"/>
      <c r="Q24" s="29"/>
      <c r="T24" s="3"/>
    </row>
    <row r="25" ht="14.25" customHeight="1">
      <c r="G25" s="29"/>
      <c r="H25" s="29"/>
      <c r="L25" s="1"/>
      <c r="M25" s="2"/>
      <c r="Q25" s="29"/>
      <c r="S25" s="29"/>
      <c r="T25" s="3"/>
    </row>
    <row r="26" ht="14.25" customHeight="1">
      <c r="F26" s="29"/>
      <c r="G26" s="29"/>
      <c r="H26" s="29"/>
      <c r="L26" s="1"/>
      <c r="M26" s="2"/>
      <c r="S26" s="29"/>
      <c r="T26" s="3"/>
    </row>
    <row r="27" ht="14.25" customHeight="1">
      <c r="C27" s="29"/>
      <c r="H27" s="29"/>
      <c r="I27" s="29"/>
      <c r="K27" s="1"/>
      <c r="L27" s="1"/>
      <c r="M27" s="2"/>
      <c r="Q27" s="29"/>
      <c r="T27" s="3"/>
    </row>
    <row r="28" ht="14.25" customHeight="1">
      <c r="F28" s="29"/>
      <c r="G28" s="29"/>
      <c r="H28" s="29"/>
      <c r="K28" s="1"/>
      <c r="L28" s="1"/>
      <c r="M28" s="2"/>
      <c r="Q28" s="29"/>
      <c r="T28" s="3"/>
    </row>
    <row r="29" ht="14.25" customHeight="1">
      <c r="G29" s="29"/>
      <c r="H29" s="29"/>
      <c r="K29" s="1"/>
      <c r="L29" s="1"/>
      <c r="M29" s="2"/>
      <c r="S29" s="29"/>
      <c r="T29" s="3"/>
    </row>
    <row r="30" ht="14.25" customHeight="1">
      <c r="G30" s="29"/>
      <c r="H30" s="29"/>
      <c r="K30" s="1"/>
      <c r="L30" s="1"/>
      <c r="M30" s="2"/>
      <c r="Q30" s="29"/>
      <c r="S30" s="29"/>
      <c r="T30" s="3"/>
    </row>
    <row r="31" ht="14.25" customHeight="1">
      <c r="E31" s="29"/>
      <c r="G31" s="29"/>
      <c r="H31" s="29"/>
      <c r="K31" s="1"/>
      <c r="L31" s="1"/>
      <c r="M31" s="2"/>
      <c r="S31" s="29"/>
      <c r="T31" s="3"/>
    </row>
    <row r="32" ht="14.25" customHeight="1">
      <c r="K32" s="1"/>
      <c r="L32" s="1"/>
      <c r="M32" s="2"/>
      <c r="S32" s="29"/>
      <c r="T32" s="3"/>
    </row>
    <row r="33" ht="14.25" customHeight="1">
      <c r="K33" s="1"/>
      <c r="L33" s="1"/>
      <c r="M33" s="2"/>
      <c r="S33" s="29"/>
      <c r="T33" s="3"/>
    </row>
    <row r="34" ht="14.25" customHeight="1">
      <c r="K34" s="1"/>
      <c r="L34" s="1"/>
      <c r="M34" s="2"/>
      <c r="T34" s="3"/>
    </row>
    <row r="35" ht="14.25" customHeight="1">
      <c r="K35" s="1"/>
      <c r="L35" s="1"/>
      <c r="M35" s="2"/>
      <c r="S35" s="29"/>
      <c r="T35" s="3"/>
    </row>
    <row r="36" ht="14.25" customHeight="1">
      <c r="K36" s="1"/>
      <c r="L36" s="1"/>
      <c r="M36" s="2"/>
      <c r="S36" s="29"/>
      <c r="T36" s="3"/>
    </row>
    <row r="37" ht="14.25" customHeight="1">
      <c r="K37" s="1"/>
      <c r="L37" s="1"/>
      <c r="M37" s="2"/>
      <c r="T37" s="3"/>
    </row>
    <row r="38" ht="14.25" customHeight="1">
      <c r="K38" s="1"/>
      <c r="L38" s="1"/>
      <c r="M38" s="2"/>
      <c r="S38" s="29"/>
      <c r="T38" s="35"/>
    </row>
    <row r="39" ht="14.25" customHeight="1">
      <c r="K39" s="1"/>
      <c r="L39" s="1"/>
      <c r="M39" s="2"/>
      <c r="T39" s="35"/>
    </row>
    <row r="40" ht="14.25" customHeight="1">
      <c r="K40" s="1"/>
      <c r="L40" s="1"/>
      <c r="M40" s="2"/>
      <c r="T40" s="35"/>
    </row>
    <row r="41" ht="14.25" customHeight="1">
      <c r="K41" s="1"/>
      <c r="L41" s="1"/>
      <c r="M41" s="2"/>
      <c r="T41" s="35"/>
    </row>
    <row r="42" ht="14.25" customHeight="1">
      <c r="K42" s="1"/>
      <c r="L42" s="1"/>
      <c r="M42" s="2"/>
      <c r="T42" s="3"/>
    </row>
    <row r="43" ht="14.25" customHeight="1">
      <c r="K43" s="1"/>
      <c r="L43" s="1"/>
      <c r="M43" s="2"/>
      <c r="T43" s="35"/>
    </row>
    <row r="44" ht="14.25" customHeight="1">
      <c r="K44" s="1"/>
      <c r="L44" s="1"/>
      <c r="M44" s="2"/>
      <c r="T44" s="35"/>
      <c r="V44" s="29"/>
    </row>
    <row r="45" ht="14.25" customHeight="1">
      <c r="K45" s="1"/>
      <c r="L45" s="1"/>
      <c r="M45" s="2"/>
      <c r="T45" s="3"/>
    </row>
    <row r="46" ht="14.25" customHeight="1">
      <c r="K46" s="1"/>
      <c r="L46" s="1"/>
      <c r="M46" s="2"/>
      <c r="T46" s="3"/>
    </row>
    <row r="47" ht="14.25" customHeight="1">
      <c r="K47" s="1"/>
      <c r="L47" s="1"/>
      <c r="M47" s="2"/>
      <c r="T47" s="3"/>
    </row>
    <row r="48" ht="14.25" customHeight="1">
      <c r="K48" s="1"/>
      <c r="L48" s="1"/>
      <c r="M48" s="2"/>
      <c r="T48" s="3"/>
    </row>
    <row r="49" ht="14.25" customHeight="1">
      <c r="K49" s="1"/>
      <c r="L49" s="1"/>
      <c r="M49" s="2"/>
      <c r="T49" s="35"/>
    </row>
    <row r="50" ht="14.25" customHeight="1">
      <c r="K50" s="1"/>
      <c r="L50" s="1"/>
      <c r="M50" s="2"/>
      <c r="T50" s="3"/>
    </row>
    <row r="51" ht="14.25" customHeight="1">
      <c r="K51" s="1"/>
      <c r="L51" s="1"/>
      <c r="M51" s="2"/>
      <c r="T51" s="3"/>
    </row>
    <row r="52" ht="14.25" customHeight="1">
      <c r="K52" s="1"/>
      <c r="L52" s="1"/>
      <c r="M52" s="2"/>
      <c r="T52" s="3"/>
    </row>
    <row r="53" ht="14.25" customHeight="1">
      <c r="K53" s="1"/>
      <c r="L53" s="1"/>
      <c r="M53" s="2"/>
      <c r="T53" s="3"/>
    </row>
    <row r="54" ht="14.25" customHeight="1">
      <c r="K54" s="1"/>
      <c r="L54" s="1"/>
      <c r="M54" s="2"/>
      <c r="T54" s="3"/>
    </row>
    <row r="55" ht="14.25" customHeight="1">
      <c r="K55" s="1"/>
      <c r="L55" s="1"/>
      <c r="M55" s="2"/>
      <c r="T55" s="3"/>
    </row>
    <row r="56" ht="14.25" customHeight="1">
      <c r="K56" s="1"/>
      <c r="L56" s="1"/>
      <c r="M56" s="2"/>
      <c r="T56" s="3"/>
    </row>
    <row r="57" ht="14.25" customHeight="1">
      <c r="K57" s="1"/>
      <c r="L57" s="1"/>
      <c r="M57" s="2"/>
      <c r="T57" s="3"/>
    </row>
    <row r="58" ht="14.25" customHeight="1">
      <c r="K58" s="1"/>
      <c r="L58" s="1"/>
      <c r="M58" s="2"/>
      <c r="T58" s="3"/>
    </row>
    <row r="59" ht="14.25" customHeight="1">
      <c r="K59" s="1"/>
      <c r="L59" s="1"/>
      <c r="M59" s="2"/>
      <c r="T59" s="3"/>
    </row>
    <row r="60" ht="14.25" customHeight="1">
      <c r="K60" s="1"/>
      <c r="L60" s="1"/>
      <c r="M60" s="2"/>
      <c r="T60" s="3"/>
    </row>
    <row r="61" ht="14.25" customHeight="1">
      <c r="K61" s="1"/>
      <c r="L61" s="1"/>
      <c r="M61" s="2"/>
      <c r="T61" s="3"/>
    </row>
    <row r="62" ht="14.25" customHeight="1">
      <c r="K62" s="1"/>
      <c r="L62" s="1"/>
      <c r="M62" s="2"/>
      <c r="T62" s="3"/>
    </row>
    <row r="63" ht="14.25" customHeight="1">
      <c r="K63" s="1"/>
      <c r="L63" s="1"/>
      <c r="M63" s="2"/>
      <c r="T63" s="3"/>
    </row>
    <row r="64" ht="14.25" customHeight="1">
      <c r="K64" s="1"/>
      <c r="L64" s="1"/>
      <c r="M64" s="2"/>
      <c r="T64" s="3"/>
    </row>
    <row r="65" ht="14.25" customHeight="1">
      <c r="K65" s="1"/>
      <c r="L65" s="1"/>
      <c r="M65" s="2"/>
      <c r="T65" s="3"/>
    </row>
    <row r="66" ht="14.25" customHeight="1">
      <c r="K66" s="1"/>
      <c r="L66" s="1"/>
      <c r="M66" s="2"/>
      <c r="T66" s="3"/>
    </row>
    <row r="67" ht="14.25" customHeight="1">
      <c r="K67" s="1"/>
      <c r="L67" s="1"/>
      <c r="M67" s="2"/>
      <c r="T67" s="3"/>
    </row>
    <row r="68" ht="14.25" customHeight="1">
      <c r="K68" s="1"/>
      <c r="L68" s="1"/>
      <c r="M68" s="2"/>
      <c r="T68" s="3"/>
    </row>
    <row r="69" ht="14.25" customHeight="1">
      <c r="K69" s="1"/>
      <c r="L69" s="1"/>
      <c r="M69" s="2"/>
      <c r="T69" s="3"/>
    </row>
    <row r="70" ht="14.25" customHeight="1">
      <c r="K70" s="1"/>
      <c r="L70" s="1"/>
      <c r="M70" s="2"/>
      <c r="T70" s="3"/>
    </row>
    <row r="71" ht="14.25" customHeight="1">
      <c r="K71" s="1"/>
      <c r="L71" s="1"/>
      <c r="M71" s="2"/>
      <c r="T71" s="3"/>
    </row>
    <row r="72" ht="14.25" customHeight="1">
      <c r="K72" s="1"/>
      <c r="L72" s="1"/>
      <c r="M72" s="2"/>
      <c r="T72" s="3"/>
    </row>
    <row r="73" ht="14.25" customHeight="1">
      <c r="K73" s="1"/>
      <c r="L73" s="1"/>
      <c r="M73" s="2"/>
      <c r="T73" s="3"/>
    </row>
    <row r="74" ht="14.25" customHeight="1">
      <c r="K74" s="1"/>
      <c r="L74" s="1"/>
      <c r="M74" s="2"/>
      <c r="T74" s="3"/>
    </row>
    <row r="75" ht="14.25" customHeight="1">
      <c r="K75" s="1"/>
      <c r="L75" s="1"/>
      <c r="M75" s="2"/>
      <c r="T75" s="3"/>
    </row>
    <row r="76" ht="14.25" customHeight="1">
      <c r="K76" s="1"/>
      <c r="L76" s="1"/>
      <c r="M76" s="2"/>
      <c r="T76" s="3"/>
    </row>
    <row r="77" ht="14.25" customHeight="1">
      <c r="K77" s="1"/>
      <c r="L77" s="1"/>
      <c r="M77" s="2"/>
      <c r="T77" s="3"/>
    </row>
    <row r="78" ht="14.25" customHeight="1">
      <c r="K78" s="1"/>
      <c r="L78" s="1"/>
      <c r="M78" s="2"/>
      <c r="T78" s="3"/>
    </row>
    <row r="79" ht="14.25" customHeight="1">
      <c r="K79" s="1"/>
      <c r="L79" s="1"/>
      <c r="M79" s="2"/>
      <c r="T79" s="3"/>
    </row>
    <row r="80" ht="14.25" customHeight="1">
      <c r="K80" s="1"/>
      <c r="L80" s="1"/>
      <c r="M80" s="2"/>
      <c r="T80" s="3"/>
    </row>
    <row r="81" ht="14.25" customHeight="1">
      <c r="K81" s="1"/>
      <c r="L81" s="1"/>
      <c r="M81" s="2"/>
      <c r="T81" s="3"/>
    </row>
    <row r="82" ht="14.25" customHeight="1">
      <c r="K82" s="1"/>
      <c r="L82" s="1"/>
      <c r="M82" s="2"/>
      <c r="T82" s="3"/>
    </row>
    <row r="83" ht="14.25" customHeight="1">
      <c r="K83" s="1"/>
      <c r="L83" s="1"/>
      <c r="M83" s="2"/>
      <c r="T83" s="3"/>
    </row>
    <row r="84" ht="14.25" customHeight="1">
      <c r="K84" s="1"/>
      <c r="L84" s="1"/>
      <c r="M84" s="2"/>
      <c r="T84" s="3"/>
    </row>
    <row r="85" ht="14.25" customHeight="1">
      <c r="K85" s="1"/>
      <c r="L85" s="1"/>
      <c r="M85" s="2"/>
      <c r="T85" s="3"/>
    </row>
    <row r="86" ht="14.25" customHeight="1">
      <c r="K86" s="1"/>
      <c r="L86" s="1"/>
      <c r="M86" s="2"/>
      <c r="T86" s="3"/>
    </row>
    <row r="87" ht="14.25" customHeight="1">
      <c r="K87" s="1"/>
      <c r="L87" s="1"/>
      <c r="M87" s="2"/>
      <c r="T87" s="3"/>
    </row>
    <row r="88" ht="14.25" customHeight="1">
      <c r="K88" s="1"/>
      <c r="L88" s="1"/>
      <c r="M88" s="2"/>
      <c r="T88" s="3"/>
    </row>
    <row r="89" ht="14.25" customHeight="1">
      <c r="K89" s="1"/>
      <c r="L89" s="1"/>
      <c r="M89" s="2"/>
      <c r="T89" s="3"/>
    </row>
    <row r="90" ht="14.25" customHeight="1">
      <c r="K90" s="1"/>
      <c r="L90" s="1"/>
      <c r="M90" s="2"/>
      <c r="T90" s="3"/>
    </row>
    <row r="91" ht="14.25" customHeight="1">
      <c r="K91" s="1"/>
      <c r="L91" s="1"/>
      <c r="M91" s="2"/>
      <c r="T91" s="3"/>
    </row>
    <row r="92" ht="14.25" customHeight="1">
      <c r="K92" s="1"/>
      <c r="L92" s="1"/>
      <c r="M92" s="2"/>
      <c r="T92" s="3"/>
    </row>
    <row r="93" ht="14.25" customHeight="1">
      <c r="K93" s="1"/>
      <c r="L93" s="1"/>
      <c r="M93" s="2"/>
      <c r="T93" s="3"/>
    </row>
    <row r="94" ht="14.25" customHeight="1">
      <c r="K94" s="1"/>
      <c r="L94" s="1"/>
      <c r="M94" s="2"/>
      <c r="T94" s="3"/>
    </row>
    <row r="95" ht="14.25" customHeight="1">
      <c r="K95" s="1"/>
      <c r="L95" s="1"/>
      <c r="M95" s="2"/>
      <c r="T95" s="3"/>
    </row>
    <row r="96" ht="14.25" customHeight="1">
      <c r="K96" s="1"/>
      <c r="L96" s="1"/>
      <c r="M96" s="2"/>
      <c r="T96" s="3"/>
    </row>
    <row r="97" ht="14.25" customHeight="1">
      <c r="K97" s="1"/>
      <c r="L97" s="1"/>
      <c r="M97" s="2"/>
      <c r="T97" s="3"/>
    </row>
    <row r="98" ht="14.25" customHeight="1">
      <c r="K98" s="1"/>
      <c r="L98" s="1"/>
      <c r="M98" s="2"/>
      <c r="T98" s="3"/>
    </row>
    <row r="99" ht="14.25" customHeight="1">
      <c r="K99" s="1"/>
      <c r="L99" s="1"/>
      <c r="M99" s="2"/>
      <c r="T99" s="3"/>
    </row>
    <row r="100" ht="14.25" customHeight="1">
      <c r="K100" s="1"/>
      <c r="L100" s="1"/>
      <c r="M100" s="2"/>
      <c r="T100" s="3"/>
    </row>
    <row r="101" ht="14.25" customHeight="1">
      <c r="K101" s="1"/>
      <c r="L101" s="1"/>
      <c r="M101" s="2"/>
      <c r="T101" s="3"/>
    </row>
    <row r="102" ht="14.25" customHeight="1">
      <c r="K102" s="1"/>
      <c r="L102" s="1"/>
      <c r="M102" s="2"/>
      <c r="T102" s="3"/>
    </row>
    <row r="103" ht="14.25" customHeight="1">
      <c r="K103" s="1"/>
      <c r="L103" s="1"/>
      <c r="M103" s="2"/>
      <c r="T103" s="3"/>
    </row>
    <row r="104" ht="14.25" customHeight="1">
      <c r="K104" s="1"/>
      <c r="L104" s="1"/>
      <c r="M104" s="2"/>
      <c r="T104" s="3"/>
    </row>
    <row r="105" ht="14.25" customHeight="1">
      <c r="K105" s="1"/>
      <c r="L105" s="1"/>
      <c r="M105" s="2"/>
      <c r="T105" s="3"/>
    </row>
    <row r="106" ht="14.25" customHeight="1">
      <c r="K106" s="1"/>
      <c r="L106" s="1"/>
      <c r="M106" s="2"/>
      <c r="T106" s="3"/>
    </row>
    <row r="107" ht="14.25" customHeight="1">
      <c r="K107" s="1"/>
      <c r="L107" s="1"/>
      <c r="M107" s="2"/>
      <c r="T107" s="3"/>
    </row>
    <row r="108" ht="14.25" customHeight="1">
      <c r="K108" s="1"/>
      <c r="L108" s="1"/>
      <c r="M108" s="2"/>
      <c r="T108" s="3"/>
    </row>
    <row r="109" ht="14.25" customHeight="1">
      <c r="K109" s="1"/>
      <c r="L109" s="1"/>
      <c r="M109" s="2"/>
      <c r="T109" s="3"/>
    </row>
    <row r="110" ht="14.25" customHeight="1">
      <c r="K110" s="1"/>
      <c r="L110" s="1"/>
      <c r="M110" s="2"/>
      <c r="T110" s="3"/>
    </row>
    <row r="111" ht="14.25" customHeight="1">
      <c r="K111" s="1"/>
      <c r="L111" s="1"/>
      <c r="M111" s="2"/>
      <c r="T111" s="3"/>
    </row>
    <row r="112" ht="14.25" customHeight="1">
      <c r="K112" s="1"/>
      <c r="L112" s="1"/>
      <c r="M112" s="2"/>
      <c r="T112" s="3"/>
    </row>
    <row r="113" ht="14.25" customHeight="1">
      <c r="K113" s="1"/>
      <c r="L113" s="1"/>
      <c r="M113" s="2"/>
      <c r="T113" s="3"/>
    </row>
    <row r="114" ht="14.25" customHeight="1">
      <c r="K114" s="1"/>
      <c r="L114" s="1"/>
      <c r="M114" s="2"/>
      <c r="T114" s="3"/>
    </row>
    <row r="115" ht="14.25" customHeight="1">
      <c r="K115" s="1"/>
      <c r="L115" s="1"/>
      <c r="M115" s="2"/>
      <c r="T115" s="3"/>
    </row>
    <row r="116" ht="14.25" customHeight="1">
      <c r="K116" s="1"/>
      <c r="L116" s="1"/>
      <c r="M116" s="2"/>
      <c r="T116" s="3"/>
    </row>
    <row r="117" ht="14.25" customHeight="1">
      <c r="K117" s="1"/>
      <c r="L117" s="1"/>
      <c r="M117" s="2"/>
      <c r="T117" s="3"/>
    </row>
    <row r="118" ht="14.25" customHeight="1">
      <c r="K118" s="1"/>
      <c r="L118" s="1"/>
      <c r="M118" s="2"/>
      <c r="T118" s="3"/>
    </row>
    <row r="119" ht="14.25" customHeight="1">
      <c r="K119" s="1"/>
      <c r="L119" s="1"/>
      <c r="M119" s="2"/>
      <c r="T119" s="3"/>
    </row>
    <row r="120" ht="14.25" customHeight="1">
      <c r="K120" s="1"/>
      <c r="L120" s="1"/>
      <c r="M120" s="2"/>
      <c r="T120" s="3"/>
    </row>
    <row r="121" ht="14.25" customHeight="1">
      <c r="K121" s="1"/>
      <c r="L121" s="1"/>
      <c r="M121" s="2"/>
      <c r="T121" s="3"/>
    </row>
    <row r="122" ht="14.25" customHeight="1">
      <c r="K122" s="1"/>
      <c r="L122" s="1"/>
      <c r="M122" s="2"/>
      <c r="T122" s="3"/>
    </row>
    <row r="123" ht="14.25" customHeight="1">
      <c r="K123" s="1"/>
      <c r="L123" s="1"/>
      <c r="M123" s="2"/>
      <c r="T123" s="3"/>
    </row>
    <row r="124" ht="14.25" customHeight="1">
      <c r="K124" s="1"/>
      <c r="L124" s="1"/>
      <c r="M124" s="2"/>
      <c r="T124" s="3"/>
    </row>
    <row r="125" ht="14.25" customHeight="1">
      <c r="K125" s="1"/>
      <c r="L125" s="1"/>
      <c r="M125" s="2"/>
      <c r="T125" s="3"/>
    </row>
    <row r="126" ht="14.25" customHeight="1">
      <c r="K126" s="1"/>
      <c r="L126" s="1"/>
      <c r="M126" s="2"/>
      <c r="T126" s="3"/>
    </row>
    <row r="127" ht="14.25" customHeight="1">
      <c r="K127" s="1"/>
      <c r="L127" s="1"/>
      <c r="M127" s="2"/>
      <c r="T127" s="3"/>
    </row>
    <row r="128" ht="14.25" customHeight="1">
      <c r="K128" s="1"/>
      <c r="L128" s="1"/>
      <c r="M128" s="2"/>
      <c r="T128" s="3"/>
    </row>
    <row r="129" ht="14.25" customHeight="1">
      <c r="K129" s="1"/>
      <c r="L129" s="1"/>
      <c r="M129" s="2"/>
      <c r="T129" s="3"/>
    </row>
    <row r="130" ht="14.25" customHeight="1">
      <c r="K130" s="1"/>
      <c r="L130" s="1"/>
      <c r="M130" s="2"/>
      <c r="T130" s="3"/>
    </row>
    <row r="131" ht="14.25" customHeight="1">
      <c r="K131" s="1"/>
      <c r="L131" s="1"/>
      <c r="M131" s="2"/>
      <c r="T131" s="3"/>
    </row>
    <row r="132" ht="14.25" customHeight="1">
      <c r="K132" s="1"/>
      <c r="L132" s="1"/>
      <c r="M132" s="2"/>
      <c r="T132" s="3"/>
    </row>
    <row r="133" ht="14.25" customHeight="1">
      <c r="K133" s="1"/>
      <c r="L133" s="1"/>
      <c r="M133" s="2"/>
      <c r="T133" s="3"/>
    </row>
    <row r="134" ht="14.25" customHeight="1">
      <c r="K134" s="1"/>
      <c r="L134" s="1"/>
      <c r="M134" s="2"/>
      <c r="T134" s="3"/>
    </row>
    <row r="135" ht="14.25" customHeight="1">
      <c r="K135" s="1"/>
      <c r="L135" s="1"/>
      <c r="M135" s="2"/>
      <c r="T135" s="3"/>
    </row>
    <row r="136" ht="14.25" customHeight="1">
      <c r="K136" s="1"/>
      <c r="L136" s="1"/>
      <c r="M136" s="2"/>
      <c r="T136" s="3"/>
    </row>
    <row r="137" ht="14.25" customHeight="1">
      <c r="K137" s="1"/>
      <c r="L137" s="1"/>
      <c r="M137" s="2"/>
      <c r="T137" s="3"/>
    </row>
    <row r="138" ht="14.25" customHeight="1">
      <c r="K138" s="1"/>
      <c r="L138" s="1"/>
      <c r="M138" s="2"/>
      <c r="T138" s="3"/>
    </row>
    <row r="139" ht="14.25" customHeight="1">
      <c r="K139" s="1"/>
      <c r="L139" s="1"/>
      <c r="M139" s="2"/>
      <c r="T139" s="3"/>
    </row>
    <row r="140" ht="14.25" customHeight="1">
      <c r="K140" s="1"/>
      <c r="L140" s="1"/>
      <c r="M140" s="2"/>
      <c r="T140" s="3"/>
    </row>
    <row r="141" ht="14.25" customHeight="1">
      <c r="K141" s="1"/>
      <c r="L141" s="1"/>
      <c r="M141" s="2"/>
      <c r="T141" s="3"/>
    </row>
    <row r="142" ht="14.25" customHeight="1">
      <c r="K142" s="1"/>
      <c r="L142" s="1"/>
      <c r="M142" s="2"/>
      <c r="T142" s="3"/>
    </row>
    <row r="143" ht="14.25" customHeight="1">
      <c r="K143" s="1"/>
      <c r="L143" s="1"/>
      <c r="M143" s="2"/>
      <c r="T143" s="3"/>
    </row>
    <row r="144" ht="14.25" customHeight="1">
      <c r="K144" s="1"/>
      <c r="L144" s="1"/>
      <c r="M144" s="2"/>
      <c r="T144" s="3"/>
    </row>
    <row r="145" ht="14.25" customHeight="1">
      <c r="K145" s="1"/>
      <c r="L145" s="1"/>
      <c r="M145" s="2"/>
      <c r="T145" s="3"/>
    </row>
    <row r="146" ht="14.25" customHeight="1">
      <c r="K146" s="1"/>
      <c r="L146" s="1"/>
      <c r="M146" s="2"/>
      <c r="T146" s="3"/>
    </row>
    <row r="147" ht="14.25" customHeight="1">
      <c r="K147" s="1"/>
      <c r="L147" s="1"/>
      <c r="M147" s="2"/>
      <c r="T147" s="3"/>
    </row>
    <row r="148" ht="14.25" customHeight="1">
      <c r="K148" s="1"/>
      <c r="L148" s="1"/>
      <c r="M148" s="2"/>
      <c r="T148" s="3"/>
    </row>
    <row r="149" ht="14.25" customHeight="1">
      <c r="K149" s="1"/>
      <c r="L149" s="1"/>
      <c r="M149" s="2"/>
      <c r="T149" s="3"/>
    </row>
    <row r="150" ht="14.25" customHeight="1">
      <c r="K150" s="1"/>
      <c r="L150" s="1"/>
      <c r="M150" s="2"/>
      <c r="T150" s="3"/>
    </row>
    <row r="151" ht="14.25" customHeight="1">
      <c r="K151" s="1"/>
      <c r="L151" s="1"/>
      <c r="M151" s="2"/>
      <c r="T151" s="3"/>
    </row>
    <row r="152" ht="14.25" customHeight="1">
      <c r="K152" s="1"/>
      <c r="L152" s="1"/>
      <c r="M152" s="2"/>
      <c r="T152" s="3"/>
    </row>
    <row r="153" ht="14.25" customHeight="1">
      <c r="K153" s="1"/>
      <c r="L153" s="1"/>
      <c r="M153" s="2"/>
      <c r="T153" s="3"/>
    </row>
    <row r="154" ht="14.25" customHeight="1">
      <c r="K154" s="1"/>
      <c r="L154" s="1"/>
      <c r="M154" s="2"/>
      <c r="T154" s="3"/>
    </row>
    <row r="155" ht="14.25" customHeight="1">
      <c r="K155" s="1"/>
      <c r="L155" s="1"/>
      <c r="M155" s="2"/>
      <c r="T155" s="3"/>
    </row>
    <row r="156" ht="14.25" customHeight="1">
      <c r="K156" s="1"/>
      <c r="L156" s="1"/>
      <c r="M156" s="2"/>
      <c r="T156" s="3"/>
    </row>
    <row r="157" ht="14.25" customHeight="1">
      <c r="K157" s="1"/>
      <c r="L157" s="1"/>
      <c r="M157" s="2"/>
      <c r="T157" s="3"/>
    </row>
    <row r="158" ht="14.25" customHeight="1">
      <c r="K158" s="1"/>
      <c r="L158" s="1"/>
      <c r="M158" s="2"/>
      <c r="T158" s="3"/>
    </row>
    <row r="159" ht="14.25" customHeight="1">
      <c r="K159" s="1"/>
      <c r="L159" s="1"/>
      <c r="M159" s="2"/>
      <c r="T159" s="3"/>
    </row>
    <row r="160" ht="14.25" customHeight="1">
      <c r="K160" s="1"/>
      <c r="L160" s="1"/>
      <c r="M160" s="2"/>
      <c r="T160" s="3"/>
    </row>
    <row r="161" ht="14.25" customHeight="1">
      <c r="K161" s="1"/>
      <c r="L161" s="1"/>
      <c r="M161" s="2"/>
      <c r="T161" s="3"/>
    </row>
    <row r="162" ht="14.25" customHeight="1">
      <c r="K162" s="1"/>
      <c r="L162" s="1"/>
      <c r="M162" s="2"/>
      <c r="T162" s="3"/>
    </row>
    <row r="163" ht="14.25" customHeight="1">
      <c r="K163" s="1"/>
      <c r="L163" s="1"/>
      <c r="M163" s="2"/>
      <c r="T163" s="3"/>
    </row>
    <row r="164" ht="14.25" customHeight="1">
      <c r="K164" s="1"/>
      <c r="L164" s="1"/>
      <c r="M164" s="2"/>
      <c r="T164" s="3"/>
    </row>
    <row r="165" ht="14.25" customHeight="1">
      <c r="K165" s="1"/>
      <c r="L165" s="1"/>
      <c r="M165" s="2"/>
      <c r="T165" s="3"/>
    </row>
    <row r="166" ht="14.25" customHeight="1">
      <c r="K166" s="1"/>
      <c r="L166" s="1"/>
      <c r="M166" s="2"/>
      <c r="T166" s="3"/>
    </row>
    <row r="167" ht="14.25" customHeight="1">
      <c r="K167" s="1"/>
      <c r="L167" s="1"/>
      <c r="M167" s="2"/>
      <c r="T167" s="3"/>
    </row>
    <row r="168" ht="14.25" customHeight="1">
      <c r="K168" s="1"/>
      <c r="L168" s="1"/>
      <c r="M168" s="2"/>
      <c r="T168" s="3"/>
    </row>
    <row r="169" ht="14.25" customHeight="1">
      <c r="K169" s="1"/>
      <c r="L169" s="1"/>
      <c r="M169" s="2"/>
      <c r="T169" s="3"/>
    </row>
    <row r="170" ht="14.25" customHeight="1">
      <c r="K170" s="1"/>
      <c r="L170" s="1"/>
      <c r="M170" s="2"/>
      <c r="T170" s="3"/>
    </row>
    <row r="171" ht="14.25" customHeight="1">
      <c r="K171" s="1"/>
      <c r="L171" s="1"/>
      <c r="M171" s="2"/>
      <c r="T171" s="3"/>
    </row>
    <row r="172" ht="14.25" customHeight="1">
      <c r="K172" s="1"/>
      <c r="L172" s="1"/>
      <c r="M172" s="2"/>
      <c r="T172" s="3"/>
    </row>
    <row r="173" ht="14.25" customHeight="1">
      <c r="K173" s="1"/>
      <c r="L173" s="1"/>
      <c r="M173" s="2"/>
      <c r="T173" s="3"/>
    </row>
    <row r="174" ht="14.25" customHeight="1">
      <c r="K174" s="1"/>
      <c r="L174" s="1"/>
      <c r="M174" s="2"/>
      <c r="T174" s="3"/>
    </row>
    <row r="175" ht="14.25" customHeight="1">
      <c r="K175" s="1"/>
      <c r="L175" s="1"/>
      <c r="M175" s="2"/>
      <c r="T175" s="3"/>
    </row>
    <row r="176" ht="14.25" customHeight="1">
      <c r="K176" s="1"/>
      <c r="L176" s="1"/>
      <c r="M176" s="2"/>
      <c r="T176" s="3"/>
    </row>
    <row r="177" ht="14.25" customHeight="1">
      <c r="K177" s="1"/>
      <c r="L177" s="1"/>
      <c r="M177" s="2"/>
      <c r="T177" s="3"/>
    </row>
    <row r="178" ht="14.25" customHeight="1">
      <c r="K178" s="1"/>
      <c r="L178" s="1"/>
      <c r="M178" s="2"/>
      <c r="T178" s="3"/>
    </row>
    <row r="179" ht="14.25" customHeight="1">
      <c r="K179" s="1"/>
      <c r="L179" s="1"/>
      <c r="M179" s="2"/>
      <c r="T179" s="3"/>
    </row>
    <row r="180" ht="14.25" customHeight="1">
      <c r="K180" s="1"/>
      <c r="L180" s="1"/>
      <c r="M180" s="2"/>
      <c r="T180" s="3"/>
    </row>
    <row r="181" ht="14.25" customHeight="1">
      <c r="K181" s="1"/>
      <c r="L181" s="1"/>
      <c r="M181" s="2"/>
      <c r="T181" s="3"/>
    </row>
    <row r="182" ht="14.25" customHeight="1">
      <c r="K182" s="1"/>
      <c r="L182" s="1"/>
      <c r="M182" s="2"/>
      <c r="T182" s="3"/>
    </row>
    <row r="183" ht="14.25" customHeight="1">
      <c r="K183" s="1"/>
      <c r="L183" s="1"/>
      <c r="M183" s="2"/>
      <c r="T183" s="3"/>
    </row>
    <row r="184" ht="14.25" customHeight="1">
      <c r="K184" s="1"/>
      <c r="L184" s="1"/>
      <c r="M184" s="2"/>
      <c r="T184" s="3"/>
    </row>
    <row r="185" ht="14.25" customHeight="1">
      <c r="K185" s="1"/>
      <c r="L185" s="1"/>
      <c r="M185" s="2"/>
      <c r="T185" s="3"/>
    </row>
    <row r="186" ht="14.25" customHeight="1">
      <c r="K186" s="1"/>
      <c r="L186" s="1"/>
      <c r="M186" s="2"/>
      <c r="T186" s="3"/>
    </row>
    <row r="187" ht="14.25" customHeight="1">
      <c r="K187" s="1"/>
      <c r="L187" s="1"/>
      <c r="M187" s="2"/>
      <c r="T187" s="3"/>
    </row>
    <row r="188" ht="14.25" customHeight="1">
      <c r="K188" s="1"/>
      <c r="L188" s="1"/>
      <c r="M188" s="2"/>
      <c r="T188" s="3"/>
    </row>
    <row r="189" ht="14.25" customHeight="1">
      <c r="K189" s="1"/>
      <c r="L189" s="1"/>
      <c r="M189" s="2"/>
      <c r="T189" s="3"/>
    </row>
    <row r="190" ht="14.25" customHeight="1">
      <c r="K190" s="1"/>
      <c r="L190" s="1"/>
      <c r="M190" s="2"/>
      <c r="T190" s="3"/>
    </row>
    <row r="191" ht="14.25" customHeight="1">
      <c r="K191" s="1"/>
      <c r="L191" s="1"/>
      <c r="M191" s="2"/>
      <c r="T191" s="3"/>
    </row>
    <row r="192" ht="14.25" customHeight="1">
      <c r="K192" s="1"/>
      <c r="L192" s="1"/>
      <c r="M192" s="2"/>
      <c r="T192" s="3"/>
    </row>
    <row r="193" ht="14.25" customHeight="1">
      <c r="K193" s="1"/>
      <c r="L193" s="1"/>
      <c r="M193" s="2"/>
      <c r="T193" s="3"/>
    </row>
    <row r="194" ht="14.25" customHeight="1">
      <c r="K194" s="1"/>
      <c r="L194" s="1"/>
      <c r="M194" s="2"/>
      <c r="T194" s="3"/>
    </row>
    <row r="195" ht="14.25" customHeight="1">
      <c r="K195" s="1"/>
      <c r="L195" s="1"/>
      <c r="M195" s="2"/>
      <c r="T195" s="3"/>
    </row>
    <row r="196" ht="14.25" customHeight="1">
      <c r="K196" s="1"/>
      <c r="L196" s="1"/>
      <c r="M196" s="2"/>
      <c r="T196" s="3"/>
    </row>
    <row r="197" ht="14.25" customHeight="1">
      <c r="K197" s="1"/>
      <c r="L197" s="1"/>
      <c r="M197" s="2"/>
      <c r="T197" s="3"/>
    </row>
    <row r="198" ht="14.25" customHeight="1">
      <c r="K198" s="1"/>
      <c r="L198" s="1"/>
      <c r="M198" s="2"/>
      <c r="T198" s="3"/>
    </row>
    <row r="199" ht="14.25" customHeight="1">
      <c r="K199" s="1"/>
      <c r="L199" s="1"/>
      <c r="M199" s="2"/>
      <c r="T199" s="3"/>
    </row>
    <row r="200" ht="14.25" customHeight="1">
      <c r="K200" s="1"/>
      <c r="L200" s="1"/>
      <c r="M200" s="2"/>
      <c r="T200" s="3"/>
    </row>
    <row r="201" ht="14.25" customHeight="1">
      <c r="K201" s="1"/>
      <c r="L201" s="1"/>
      <c r="M201" s="2"/>
      <c r="T201" s="3"/>
    </row>
    <row r="202" ht="14.25" customHeight="1">
      <c r="K202" s="1"/>
      <c r="L202" s="1"/>
      <c r="M202" s="2"/>
      <c r="T202" s="3"/>
    </row>
    <row r="203" ht="14.25" customHeight="1">
      <c r="K203" s="1"/>
      <c r="L203" s="1"/>
      <c r="M203" s="2"/>
      <c r="T203" s="3"/>
    </row>
    <row r="204" ht="14.25" customHeight="1">
      <c r="K204" s="1"/>
      <c r="L204" s="1"/>
      <c r="M204" s="2"/>
      <c r="T204" s="3"/>
    </row>
    <row r="205" ht="14.25" customHeight="1">
      <c r="K205" s="1"/>
      <c r="L205" s="1"/>
      <c r="M205" s="2"/>
      <c r="T205" s="3"/>
    </row>
    <row r="206" ht="14.25" customHeight="1">
      <c r="K206" s="1"/>
      <c r="L206" s="1"/>
      <c r="M206" s="2"/>
      <c r="T206" s="3"/>
    </row>
    <row r="207" ht="14.25" customHeight="1">
      <c r="K207" s="1"/>
      <c r="L207" s="1"/>
      <c r="M207" s="2"/>
      <c r="T207" s="3"/>
    </row>
    <row r="208" ht="14.25" customHeight="1">
      <c r="K208" s="1"/>
      <c r="L208" s="1"/>
      <c r="M208" s="2"/>
      <c r="T208" s="3"/>
    </row>
    <row r="209" ht="14.25" customHeight="1">
      <c r="K209" s="1"/>
      <c r="L209" s="1"/>
      <c r="M209" s="2"/>
      <c r="T209" s="3"/>
    </row>
    <row r="210" ht="14.25" customHeight="1">
      <c r="K210" s="1"/>
      <c r="L210" s="1"/>
      <c r="M210" s="2"/>
      <c r="T210" s="3"/>
    </row>
    <row r="211" ht="14.25" customHeight="1">
      <c r="K211" s="1"/>
      <c r="L211" s="1"/>
      <c r="M211" s="2"/>
      <c r="T211" s="3"/>
    </row>
    <row r="212" ht="14.25" customHeight="1">
      <c r="K212" s="1"/>
      <c r="L212" s="1"/>
      <c r="M212" s="2"/>
      <c r="T212" s="3"/>
    </row>
    <row r="213" ht="14.25" customHeight="1">
      <c r="K213" s="1"/>
      <c r="L213" s="1"/>
      <c r="M213" s="2"/>
      <c r="T213" s="3"/>
    </row>
    <row r="214" ht="14.25" customHeight="1">
      <c r="K214" s="1"/>
      <c r="L214" s="1"/>
      <c r="M214" s="2"/>
      <c r="T214" s="3"/>
    </row>
    <row r="215" ht="14.25" customHeight="1">
      <c r="K215" s="1"/>
      <c r="L215" s="1"/>
      <c r="M215" s="2"/>
      <c r="T215" s="3"/>
    </row>
    <row r="216" ht="14.25" customHeight="1">
      <c r="K216" s="1"/>
      <c r="L216" s="1"/>
      <c r="M216" s="2"/>
      <c r="T216" s="3"/>
    </row>
    <row r="217" ht="14.25" customHeight="1">
      <c r="K217" s="1"/>
      <c r="L217" s="1"/>
      <c r="M217" s="2"/>
      <c r="T217" s="3"/>
    </row>
    <row r="218" ht="14.25" customHeight="1">
      <c r="K218" s="1"/>
      <c r="L218" s="1"/>
      <c r="M218" s="2"/>
      <c r="T218" s="3"/>
    </row>
    <row r="219" ht="14.25" customHeight="1">
      <c r="K219" s="1"/>
      <c r="L219" s="1"/>
      <c r="M219" s="2"/>
      <c r="T219" s="3"/>
    </row>
    <row r="220" ht="14.25" customHeight="1">
      <c r="K220" s="1"/>
      <c r="L220" s="1"/>
      <c r="M220" s="2"/>
      <c r="T220" s="3"/>
    </row>
    <row r="221" ht="14.25" customHeight="1">
      <c r="K221" s="1"/>
      <c r="L221" s="1"/>
      <c r="M221" s="2"/>
      <c r="T221" s="3"/>
    </row>
    <row r="222" ht="14.25" customHeight="1">
      <c r="K222" s="1"/>
      <c r="L222" s="1"/>
      <c r="M222" s="2"/>
      <c r="T222" s="3"/>
    </row>
    <row r="223" ht="14.25" customHeight="1">
      <c r="K223" s="1"/>
      <c r="L223" s="1"/>
      <c r="M223" s="2"/>
      <c r="T223" s="3"/>
    </row>
    <row r="224" ht="14.25" customHeight="1">
      <c r="K224" s="1"/>
      <c r="L224" s="1"/>
      <c r="M224" s="2"/>
      <c r="T224" s="3"/>
    </row>
    <row r="225" ht="14.25" customHeight="1">
      <c r="K225" s="1"/>
      <c r="L225" s="1"/>
      <c r="M225" s="2"/>
      <c r="T225" s="3"/>
    </row>
    <row r="226" ht="14.25" customHeight="1">
      <c r="K226" s="1"/>
      <c r="L226" s="1"/>
      <c r="M226" s="2"/>
      <c r="T226" s="3"/>
    </row>
    <row r="227" ht="14.25" customHeight="1">
      <c r="K227" s="1"/>
      <c r="L227" s="1"/>
      <c r="M227" s="2"/>
      <c r="T227" s="3"/>
    </row>
    <row r="228" ht="14.25" customHeight="1">
      <c r="K228" s="1"/>
      <c r="L228" s="1"/>
      <c r="M228" s="2"/>
      <c r="T228" s="3"/>
    </row>
    <row r="229" ht="14.25" customHeight="1">
      <c r="K229" s="1"/>
      <c r="L229" s="1"/>
      <c r="M229" s="2"/>
      <c r="T229" s="3"/>
    </row>
    <row r="230" ht="14.25" customHeight="1">
      <c r="K230" s="1"/>
      <c r="L230" s="1"/>
      <c r="M230" s="2"/>
      <c r="T230" s="3"/>
    </row>
    <row r="231" ht="14.25" customHeight="1">
      <c r="K231" s="1"/>
      <c r="L231" s="1"/>
      <c r="M231" s="2"/>
      <c r="T231" s="3"/>
    </row>
    <row r="232" ht="14.25" customHeight="1">
      <c r="K232" s="1"/>
      <c r="L232" s="1"/>
      <c r="M232" s="2"/>
      <c r="T232" s="3"/>
    </row>
    <row r="233" ht="14.25" customHeight="1">
      <c r="K233" s="1"/>
      <c r="L233" s="1"/>
      <c r="M233" s="2"/>
      <c r="T233" s="3"/>
    </row>
    <row r="234" ht="14.25" customHeight="1">
      <c r="K234" s="1"/>
      <c r="L234" s="1"/>
      <c r="M234" s="2"/>
      <c r="T234" s="3"/>
    </row>
    <row r="235" ht="14.25" customHeight="1">
      <c r="K235" s="1"/>
      <c r="L235" s="1"/>
      <c r="M235" s="2"/>
      <c r="T235" s="3"/>
    </row>
    <row r="236" ht="14.25" customHeight="1">
      <c r="K236" s="1"/>
      <c r="L236" s="1"/>
      <c r="M236" s="2"/>
      <c r="T236" s="3"/>
    </row>
    <row r="237" ht="14.25" customHeight="1">
      <c r="K237" s="1"/>
      <c r="L237" s="1"/>
      <c r="M237" s="2"/>
      <c r="T237" s="3"/>
    </row>
    <row r="238" ht="14.25" customHeight="1">
      <c r="K238" s="1"/>
      <c r="L238" s="1"/>
      <c r="M238" s="2"/>
      <c r="T238" s="3"/>
    </row>
    <row r="239" ht="14.25" customHeight="1">
      <c r="K239" s="1"/>
      <c r="L239" s="1"/>
      <c r="M239" s="2"/>
      <c r="T239" s="3"/>
    </row>
    <row r="240" ht="14.25" customHeight="1">
      <c r="K240" s="1"/>
      <c r="L240" s="1"/>
      <c r="M240" s="2"/>
      <c r="T240" s="3"/>
    </row>
    <row r="241" ht="14.25" customHeight="1">
      <c r="K241" s="1"/>
      <c r="L241" s="1"/>
      <c r="M241" s="2"/>
      <c r="T241" s="3"/>
    </row>
    <row r="242" ht="14.25" customHeight="1">
      <c r="K242" s="1"/>
      <c r="L242" s="1"/>
      <c r="M242" s="2"/>
      <c r="T242" s="3"/>
    </row>
    <row r="243" ht="14.25" customHeight="1">
      <c r="K243" s="1"/>
      <c r="L243" s="1"/>
      <c r="M243" s="2"/>
      <c r="T243" s="3"/>
    </row>
    <row r="244" ht="14.25" customHeight="1">
      <c r="K244" s="1"/>
      <c r="L244" s="1"/>
      <c r="M244" s="2"/>
      <c r="T244" s="3"/>
    </row>
    <row r="245" ht="14.25" customHeight="1">
      <c r="K245" s="1"/>
      <c r="L245" s="1"/>
      <c r="M245" s="2"/>
      <c r="T245" s="3"/>
    </row>
    <row r="246" ht="14.25" customHeight="1">
      <c r="K246" s="1"/>
      <c r="L246" s="1"/>
      <c r="M246" s="2"/>
      <c r="T246" s="3"/>
    </row>
    <row r="247" ht="14.25" customHeight="1">
      <c r="K247" s="1"/>
      <c r="L247" s="1"/>
      <c r="M247" s="2"/>
      <c r="T247" s="3"/>
    </row>
    <row r="248" ht="14.25" customHeight="1">
      <c r="K248" s="1"/>
      <c r="L248" s="1"/>
      <c r="M248" s="2"/>
      <c r="T248" s="3"/>
    </row>
    <row r="249" ht="14.25" customHeight="1">
      <c r="K249" s="1"/>
      <c r="L249" s="1"/>
      <c r="M249" s="2"/>
      <c r="T249" s="3"/>
    </row>
    <row r="250" ht="14.25" customHeight="1">
      <c r="K250" s="1"/>
      <c r="L250" s="1"/>
      <c r="M250" s="2"/>
      <c r="T250" s="3"/>
    </row>
    <row r="251" ht="14.25" customHeight="1">
      <c r="K251" s="1"/>
      <c r="L251" s="1"/>
      <c r="M251" s="2"/>
      <c r="T251" s="3"/>
    </row>
    <row r="252" ht="14.25" customHeight="1">
      <c r="K252" s="1"/>
      <c r="L252" s="1"/>
      <c r="M252" s="2"/>
      <c r="T252" s="3"/>
    </row>
    <row r="253" ht="14.25" customHeight="1">
      <c r="K253" s="1"/>
      <c r="L253" s="1"/>
      <c r="M253" s="2"/>
      <c r="T253" s="3"/>
    </row>
    <row r="254" ht="14.25" customHeight="1">
      <c r="K254" s="1"/>
      <c r="L254" s="1"/>
      <c r="M254" s="2"/>
      <c r="T254" s="3"/>
    </row>
    <row r="255" ht="14.25" customHeight="1">
      <c r="K255" s="1"/>
      <c r="L255" s="1"/>
      <c r="M255" s="2"/>
      <c r="T255" s="3"/>
    </row>
    <row r="256" ht="14.25" customHeight="1">
      <c r="K256" s="1"/>
      <c r="L256" s="1"/>
      <c r="M256" s="2"/>
      <c r="T256" s="3"/>
    </row>
    <row r="257" ht="14.25" customHeight="1">
      <c r="K257" s="1"/>
      <c r="L257" s="1"/>
      <c r="M257" s="2"/>
      <c r="T257" s="3"/>
    </row>
    <row r="258" ht="14.25" customHeight="1">
      <c r="K258" s="1"/>
      <c r="L258" s="1"/>
      <c r="M258" s="2"/>
      <c r="T258" s="3"/>
    </row>
    <row r="259" ht="14.25" customHeight="1">
      <c r="K259" s="1"/>
      <c r="L259" s="1"/>
      <c r="M259" s="2"/>
      <c r="T259" s="3"/>
    </row>
    <row r="260" ht="14.25" customHeight="1">
      <c r="K260" s="1"/>
      <c r="L260" s="1"/>
      <c r="M260" s="2"/>
      <c r="T260" s="3"/>
    </row>
    <row r="261" ht="14.25" customHeight="1">
      <c r="K261" s="1"/>
      <c r="L261" s="1"/>
      <c r="M261" s="2"/>
      <c r="T261" s="3"/>
    </row>
    <row r="262" ht="14.25" customHeight="1">
      <c r="K262" s="1"/>
      <c r="L262" s="1"/>
      <c r="M262" s="2"/>
      <c r="T262" s="3"/>
    </row>
    <row r="263" ht="14.25" customHeight="1">
      <c r="K263" s="1"/>
      <c r="L263" s="1"/>
      <c r="M263" s="2"/>
      <c r="T263" s="3"/>
    </row>
    <row r="264" ht="14.25" customHeight="1">
      <c r="K264" s="1"/>
      <c r="L264" s="1"/>
      <c r="M264" s="2"/>
      <c r="T264" s="3"/>
    </row>
    <row r="265" ht="14.25" customHeight="1">
      <c r="K265" s="1"/>
      <c r="L265" s="1"/>
      <c r="M265" s="2"/>
      <c r="T265" s="3"/>
    </row>
    <row r="266" ht="14.25" customHeight="1">
      <c r="K266" s="1"/>
      <c r="L266" s="1"/>
      <c r="M266" s="2"/>
      <c r="T266" s="3"/>
    </row>
    <row r="267" ht="14.25" customHeight="1">
      <c r="K267" s="1"/>
      <c r="L267" s="1"/>
      <c r="M267" s="2"/>
      <c r="T267" s="3"/>
    </row>
    <row r="268" ht="14.25" customHeight="1">
      <c r="K268" s="1"/>
      <c r="L268" s="1"/>
      <c r="M268" s="2"/>
      <c r="T268" s="3"/>
    </row>
    <row r="269" ht="14.25" customHeight="1">
      <c r="K269" s="1"/>
      <c r="L269" s="1"/>
      <c r="M269" s="2"/>
      <c r="T269" s="3"/>
    </row>
    <row r="270" ht="14.25" customHeight="1">
      <c r="K270" s="1"/>
      <c r="L270" s="1"/>
      <c r="M270" s="2"/>
      <c r="T270" s="3"/>
    </row>
    <row r="271" ht="14.25" customHeight="1">
      <c r="K271" s="1"/>
      <c r="L271" s="1"/>
      <c r="M271" s="2"/>
      <c r="T271" s="3"/>
    </row>
    <row r="272" ht="14.25" customHeight="1">
      <c r="K272" s="1"/>
      <c r="L272" s="1"/>
      <c r="M272" s="2"/>
      <c r="T272" s="3"/>
    </row>
    <row r="273" ht="14.25" customHeight="1">
      <c r="K273" s="1"/>
      <c r="L273" s="1"/>
      <c r="M273" s="2"/>
      <c r="T273" s="3"/>
    </row>
    <row r="274" ht="14.25" customHeight="1">
      <c r="K274" s="1"/>
      <c r="L274" s="1"/>
      <c r="M274" s="2"/>
      <c r="T274" s="3"/>
    </row>
    <row r="275" ht="14.25" customHeight="1">
      <c r="K275" s="1"/>
      <c r="L275" s="1"/>
      <c r="M275" s="2"/>
      <c r="T275" s="3"/>
    </row>
    <row r="276" ht="14.25" customHeight="1">
      <c r="K276" s="1"/>
      <c r="L276" s="1"/>
      <c r="M276" s="2"/>
      <c r="T276" s="3"/>
    </row>
    <row r="277" ht="14.25" customHeight="1">
      <c r="K277" s="1"/>
      <c r="L277" s="1"/>
      <c r="M277" s="2"/>
      <c r="T277" s="3"/>
    </row>
    <row r="278" ht="14.25" customHeight="1">
      <c r="K278" s="1"/>
      <c r="L278" s="1"/>
      <c r="M278" s="2"/>
      <c r="T278" s="3"/>
    </row>
    <row r="279" ht="14.25" customHeight="1">
      <c r="K279" s="1"/>
      <c r="L279" s="1"/>
      <c r="M279" s="2"/>
      <c r="T279" s="3"/>
    </row>
    <row r="280" ht="14.25" customHeight="1">
      <c r="K280" s="1"/>
      <c r="L280" s="1"/>
      <c r="M280" s="2"/>
      <c r="T280" s="3"/>
    </row>
    <row r="281" ht="14.25" customHeight="1">
      <c r="K281" s="1"/>
      <c r="L281" s="1"/>
      <c r="M281" s="2"/>
      <c r="T281" s="3"/>
    </row>
    <row r="282" ht="14.25" customHeight="1">
      <c r="K282" s="1"/>
      <c r="L282" s="1"/>
      <c r="M282" s="2"/>
      <c r="T282" s="3"/>
    </row>
    <row r="283" ht="14.25" customHeight="1">
      <c r="K283" s="1"/>
      <c r="L283" s="1"/>
      <c r="M283" s="2"/>
      <c r="T283" s="3"/>
    </row>
    <row r="284" ht="14.25" customHeight="1">
      <c r="K284" s="1"/>
      <c r="L284" s="1"/>
      <c r="M284" s="2"/>
      <c r="T284" s="3"/>
    </row>
    <row r="285" ht="14.25" customHeight="1">
      <c r="K285" s="1"/>
      <c r="L285" s="1"/>
      <c r="M285" s="2"/>
      <c r="T285" s="3"/>
    </row>
    <row r="286" ht="14.25" customHeight="1">
      <c r="K286" s="1"/>
      <c r="L286" s="1"/>
      <c r="M286" s="2"/>
      <c r="T286" s="3"/>
    </row>
    <row r="287" ht="14.25" customHeight="1">
      <c r="K287" s="1"/>
      <c r="L287" s="1"/>
      <c r="M287" s="2"/>
      <c r="T287" s="3"/>
    </row>
    <row r="288" ht="14.25" customHeight="1">
      <c r="K288" s="1"/>
      <c r="L288" s="1"/>
      <c r="M288" s="2"/>
      <c r="T288" s="3"/>
    </row>
    <row r="289" ht="14.25" customHeight="1">
      <c r="K289" s="1"/>
      <c r="L289" s="1"/>
      <c r="M289" s="2"/>
      <c r="T289" s="3"/>
    </row>
    <row r="290" ht="14.25" customHeight="1">
      <c r="K290" s="1"/>
      <c r="L290" s="1"/>
      <c r="M290" s="2"/>
      <c r="T290" s="3"/>
    </row>
    <row r="291" ht="14.25" customHeight="1">
      <c r="K291" s="1"/>
      <c r="L291" s="1"/>
      <c r="M291" s="2"/>
      <c r="T291" s="3"/>
    </row>
    <row r="292" ht="14.25" customHeight="1">
      <c r="K292" s="1"/>
      <c r="L292" s="1"/>
      <c r="M292" s="2"/>
      <c r="T292" s="3"/>
    </row>
    <row r="293" ht="14.25" customHeight="1">
      <c r="K293" s="1"/>
      <c r="L293" s="1"/>
      <c r="M293" s="2"/>
      <c r="T293" s="3"/>
    </row>
    <row r="294" ht="14.25" customHeight="1">
      <c r="K294" s="1"/>
      <c r="L294" s="1"/>
      <c r="M294" s="2"/>
      <c r="T294" s="3"/>
    </row>
    <row r="295" ht="14.25" customHeight="1">
      <c r="K295" s="1"/>
      <c r="L295" s="1"/>
      <c r="M295" s="2"/>
      <c r="T295" s="3"/>
    </row>
    <row r="296" ht="14.25" customHeight="1">
      <c r="K296" s="1"/>
      <c r="L296" s="1"/>
      <c r="M296" s="2"/>
      <c r="T296" s="3"/>
    </row>
    <row r="297" ht="14.25" customHeight="1">
      <c r="K297" s="1"/>
      <c r="L297" s="1"/>
      <c r="M297" s="2"/>
      <c r="T297" s="3"/>
    </row>
    <row r="298" ht="14.25" customHeight="1">
      <c r="K298" s="1"/>
      <c r="L298" s="1"/>
      <c r="M298" s="2"/>
      <c r="T298" s="3"/>
    </row>
    <row r="299" ht="14.25" customHeight="1">
      <c r="K299" s="1"/>
      <c r="L299" s="1"/>
      <c r="M299" s="2"/>
      <c r="T299" s="3"/>
    </row>
    <row r="300" ht="14.25" customHeight="1">
      <c r="K300" s="1"/>
      <c r="L300" s="1"/>
      <c r="M300" s="2"/>
      <c r="T300" s="3"/>
    </row>
    <row r="301" ht="14.25" customHeight="1">
      <c r="K301" s="1"/>
      <c r="L301" s="1"/>
      <c r="M301" s="2"/>
      <c r="T301" s="3"/>
    </row>
    <row r="302" ht="14.25" customHeight="1">
      <c r="K302" s="1"/>
      <c r="L302" s="1"/>
      <c r="M302" s="2"/>
      <c r="T302" s="3"/>
    </row>
    <row r="303" ht="14.25" customHeight="1">
      <c r="K303" s="1"/>
      <c r="L303" s="1"/>
      <c r="M303" s="2"/>
      <c r="T303" s="3"/>
    </row>
    <row r="304" ht="14.25" customHeight="1">
      <c r="K304" s="1"/>
      <c r="L304" s="1"/>
      <c r="M304" s="2"/>
      <c r="T304" s="3"/>
    </row>
    <row r="305" ht="14.25" customHeight="1">
      <c r="K305" s="1"/>
      <c r="L305" s="1"/>
      <c r="M305" s="2"/>
      <c r="T305" s="3"/>
    </row>
    <row r="306" ht="14.25" customHeight="1">
      <c r="K306" s="1"/>
      <c r="L306" s="1"/>
      <c r="M306" s="2"/>
      <c r="T306" s="3"/>
    </row>
    <row r="307" ht="14.25" customHeight="1">
      <c r="K307" s="1"/>
      <c r="L307" s="1"/>
      <c r="M307" s="2"/>
      <c r="T307" s="3"/>
    </row>
    <row r="308" ht="14.25" customHeight="1">
      <c r="K308" s="1"/>
      <c r="L308" s="1"/>
      <c r="M308" s="2"/>
      <c r="T308" s="3"/>
    </row>
    <row r="309" ht="14.25" customHeight="1">
      <c r="K309" s="1"/>
      <c r="L309" s="1"/>
      <c r="M309" s="2"/>
      <c r="T309" s="3"/>
    </row>
    <row r="310" ht="14.25" customHeight="1">
      <c r="K310" s="1"/>
      <c r="L310" s="1"/>
      <c r="M310" s="2"/>
      <c r="T310" s="3"/>
    </row>
    <row r="311" ht="14.25" customHeight="1">
      <c r="K311" s="1"/>
      <c r="L311" s="1"/>
      <c r="M311" s="2"/>
      <c r="T311" s="3"/>
    </row>
    <row r="312" ht="14.25" customHeight="1">
      <c r="K312" s="1"/>
      <c r="L312" s="1"/>
      <c r="M312" s="2"/>
      <c r="T312" s="3"/>
    </row>
    <row r="313" ht="14.25" customHeight="1">
      <c r="K313" s="1"/>
      <c r="L313" s="1"/>
      <c r="M313" s="2"/>
      <c r="T313" s="3"/>
    </row>
    <row r="314" ht="14.25" customHeight="1">
      <c r="K314" s="1"/>
      <c r="L314" s="1"/>
      <c r="M314" s="2"/>
      <c r="T314" s="3"/>
    </row>
    <row r="315" ht="14.25" customHeight="1">
      <c r="K315" s="1"/>
      <c r="L315" s="1"/>
      <c r="M315" s="2"/>
      <c r="T315" s="3"/>
    </row>
    <row r="316" ht="14.25" customHeight="1">
      <c r="K316" s="1"/>
      <c r="L316" s="1"/>
      <c r="M316" s="2"/>
      <c r="T316" s="3"/>
    </row>
    <row r="317" ht="14.25" customHeight="1">
      <c r="K317" s="1"/>
      <c r="L317" s="1"/>
      <c r="M317" s="2"/>
      <c r="T317" s="3"/>
    </row>
    <row r="318" ht="14.25" customHeight="1">
      <c r="K318" s="1"/>
      <c r="L318" s="1"/>
      <c r="M318" s="2"/>
      <c r="T318" s="3"/>
    </row>
    <row r="319" ht="14.25" customHeight="1">
      <c r="K319" s="1"/>
      <c r="L319" s="1"/>
      <c r="M319" s="2"/>
      <c r="T319" s="3"/>
    </row>
    <row r="320" ht="14.25" customHeight="1">
      <c r="K320" s="1"/>
      <c r="L320" s="1"/>
      <c r="M320" s="2"/>
      <c r="T320" s="3"/>
    </row>
    <row r="321" ht="14.25" customHeight="1">
      <c r="K321" s="1"/>
      <c r="L321" s="1"/>
      <c r="M321" s="2"/>
      <c r="T321" s="3"/>
    </row>
    <row r="322" ht="14.25" customHeight="1">
      <c r="K322" s="1"/>
      <c r="L322" s="1"/>
      <c r="M322" s="2"/>
      <c r="T322" s="3"/>
    </row>
    <row r="323" ht="14.25" customHeight="1">
      <c r="K323" s="1"/>
      <c r="L323" s="1"/>
      <c r="M323" s="2"/>
      <c r="T323" s="3"/>
    </row>
    <row r="324" ht="14.25" customHeight="1">
      <c r="K324" s="1"/>
      <c r="L324" s="1"/>
      <c r="M324" s="2"/>
      <c r="T324" s="3"/>
    </row>
    <row r="325" ht="14.25" customHeight="1">
      <c r="K325" s="1"/>
      <c r="L325" s="1"/>
      <c r="M325" s="2"/>
      <c r="T325" s="3"/>
    </row>
    <row r="326" ht="14.25" customHeight="1">
      <c r="K326" s="1"/>
      <c r="L326" s="1"/>
      <c r="M326" s="2"/>
      <c r="T326" s="3"/>
    </row>
    <row r="327" ht="14.25" customHeight="1">
      <c r="K327" s="1"/>
      <c r="L327" s="1"/>
      <c r="M327" s="2"/>
      <c r="T327" s="3"/>
    </row>
    <row r="328" ht="14.25" customHeight="1">
      <c r="K328" s="1"/>
      <c r="L328" s="1"/>
      <c r="M328" s="2"/>
      <c r="T328" s="3"/>
    </row>
    <row r="329" ht="14.25" customHeight="1">
      <c r="K329" s="1"/>
      <c r="L329" s="1"/>
      <c r="M329" s="2"/>
      <c r="T329" s="3"/>
    </row>
    <row r="330" ht="14.25" customHeight="1">
      <c r="K330" s="1"/>
      <c r="L330" s="1"/>
      <c r="M330" s="2"/>
      <c r="T330" s="3"/>
    </row>
    <row r="331" ht="14.25" customHeight="1">
      <c r="K331" s="1"/>
      <c r="L331" s="1"/>
      <c r="M331" s="2"/>
      <c r="T331" s="3"/>
    </row>
    <row r="332" ht="14.25" customHeight="1">
      <c r="K332" s="1"/>
      <c r="L332" s="1"/>
      <c r="M332" s="2"/>
      <c r="T332" s="3"/>
    </row>
    <row r="333" ht="14.25" customHeight="1">
      <c r="K333" s="1"/>
      <c r="L333" s="1"/>
      <c r="M333" s="2"/>
      <c r="T333" s="3"/>
    </row>
    <row r="334" ht="14.25" customHeight="1">
      <c r="K334" s="1"/>
      <c r="L334" s="1"/>
      <c r="M334" s="2"/>
      <c r="T334" s="3"/>
    </row>
    <row r="335" ht="14.25" customHeight="1">
      <c r="K335" s="1"/>
      <c r="L335" s="1"/>
      <c r="M335" s="2"/>
      <c r="T335" s="3"/>
    </row>
    <row r="336" ht="14.25" customHeight="1">
      <c r="K336" s="1"/>
      <c r="L336" s="1"/>
      <c r="M336" s="2"/>
      <c r="T336" s="3"/>
    </row>
    <row r="337" ht="14.25" customHeight="1">
      <c r="K337" s="1"/>
      <c r="L337" s="1"/>
      <c r="M337" s="2"/>
      <c r="T337" s="3"/>
    </row>
    <row r="338" ht="14.25" customHeight="1">
      <c r="K338" s="1"/>
      <c r="L338" s="1"/>
      <c r="M338" s="2"/>
      <c r="T338" s="3"/>
    </row>
    <row r="339" ht="14.25" customHeight="1">
      <c r="K339" s="1"/>
      <c r="L339" s="1"/>
      <c r="M339" s="2"/>
      <c r="T339" s="3"/>
    </row>
    <row r="340" ht="14.25" customHeight="1">
      <c r="K340" s="1"/>
      <c r="L340" s="1"/>
      <c r="M340" s="2"/>
      <c r="T340" s="3"/>
    </row>
    <row r="341" ht="14.25" customHeight="1">
      <c r="K341" s="1"/>
      <c r="L341" s="1"/>
      <c r="M341" s="2"/>
      <c r="T341" s="3"/>
    </row>
    <row r="342" ht="14.25" customHeight="1">
      <c r="K342" s="1"/>
      <c r="L342" s="1"/>
      <c r="M342" s="2"/>
      <c r="T342" s="3"/>
    </row>
    <row r="343" ht="14.25" customHeight="1">
      <c r="K343" s="1"/>
      <c r="L343" s="1"/>
      <c r="M343" s="2"/>
      <c r="T343" s="3"/>
    </row>
    <row r="344" ht="14.25" customHeight="1">
      <c r="K344" s="1"/>
      <c r="L344" s="1"/>
      <c r="M344" s="2"/>
      <c r="T344" s="3"/>
    </row>
    <row r="345" ht="14.25" customHeight="1">
      <c r="K345" s="1"/>
      <c r="L345" s="1"/>
      <c r="M345" s="2"/>
      <c r="T345" s="3"/>
    </row>
    <row r="346" ht="14.25" customHeight="1">
      <c r="K346" s="1"/>
      <c r="L346" s="1"/>
      <c r="M346" s="2"/>
      <c r="T346" s="3"/>
    </row>
    <row r="347" ht="14.25" customHeight="1">
      <c r="K347" s="1"/>
      <c r="L347" s="1"/>
      <c r="M347" s="2"/>
      <c r="T347" s="3"/>
    </row>
    <row r="348" ht="14.25" customHeight="1">
      <c r="K348" s="1"/>
      <c r="L348" s="1"/>
      <c r="M348" s="2"/>
      <c r="T348" s="3"/>
    </row>
    <row r="349" ht="14.25" customHeight="1">
      <c r="K349" s="1"/>
      <c r="L349" s="1"/>
      <c r="M349" s="2"/>
      <c r="T349" s="3"/>
    </row>
    <row r="350" ht="14.25" customHeight="1">
      <c r="K350" s="1"/>
      <c r="L350" s="1"/>
      <c r="M350" s="2"/>
      <c r="T350" s="3"/>
    </row>
    <row r="351" ht="14.25" customHeight="1">
      <c r="K351" s="1"/>
      <c r="L351" s="1"/>
      <c r="M351" s="2"/>
      <c r="T351" s="3"/>
    </row>
    <row r="352" ht="14.25" customHeight="1">
      <c r="K352" s="1"/>
      <c r="L352" s="1"/>
      <c r="M352" s="2"/>
      <c r="T352" s="3"/>
    </row>
    <row r="353" ht="14.25" customHeight="1">
      <c r="K353" s="1"/>
      <c r="L353" s="1"/>
      <c r="M353" s="2"/>
      <c r="T353" s="3"/>
    </row>
    <row r="354" ht="14.25" customHeight="1">
      <c r="K354" s="1"/>
      <c r="L354" s="1"/>
      <c r="M354" s="2"/>
      <c r="T354" s="3"/>
    </row>
    <row r="355" ht="14.25" customHeight="1">
      <c r="K355" s="1"/>
      <c r="L355" s="1"/>
      <c r="M355" s="2"/>
      <c r="T355" s="3"/>
    </row>
    <row r="356" ht="14.25" customHeight="1">
      <c r="K356" s="1"/>
      <c r="L356" s="1"/>
      <c r="M356" s="2"/>
      <c r="T356" s="3"/>
    </row>
    <row r="357" ht="14.25" customHeight="1">
      <c r="K357" s="1"/>
      <c r="L357" s="1"/>
      <c r="M357" s="2"/>
      <c r="T357" s="3"/>
    </row>
    <row r="358" ht="14.25" customHeight="1">
      <c r="K358" s="1"/>
      <c r="L358" s="1"/>
      <c r="M358" s="2"/>
      <c r="T358" s="3"/>
    </row>
    <row r="359" ht="14.25" customHeight="1">
      <c r="K359" s="1"/>
      <c r="L359" s="1"/>
      <c r="M359" s="2"/>
      <c r="T359" s="3"/>
    </row>
    <row r="360" ht="14.25" customHeight="1">
      <c r="K360" s="1"/>
      <c r="L360" s="1"/>
      <c r="M360" s="2"/>
      <c r="T360" s="3"/>
    </row>
    <row r="361" ht="14.25" customHeight="1">
      <c r="K361" s="1"/>
      <c r="L361" s="1"/>
      <c r="M361" s="2"/>
      <c r="T361" s="3"/>
    </row>
    <row r="362" ht="14.25" customHeight="1">
      <c r="K362" s="1"/>
      <c r="L362" s="1"/>
      <c r="M362" s="2"/>
      <c r="T362" s="3"/>
    </row>
    <row r="363" ht="14.25" customHeight="1">
      <c r="K363" s="1"/>
      <c r="L363" s="1"/>
      <c r="M363" s="2"/>
      <c r="T363" s="3"/>
    </row>
    <row r="364" ht="14.25" customHeight="1">
      <c r="K364" s="1"/>
      <c r="L364" s="1"/>
      <c r="M364" s="2"/>
      <c r="T364" s="3"/>
    </row>
    <row r="365" ht="14.25" customHeight="1">
      <c r="K365" s="1"/>
      <c r="L365" s="1"/>
      <c r="M365" s="2"/>
      <c r="T365" s="3"/>
    </row>
    <row r="366" ht="14.25" customHeight="1">
      <c r="K366" s="1"/>
      <c r="L366" s="1"/>
      <c r="M366" s="2"/>
      <c r="T366" s="3"/>
    </row>
    <row r="367" ht="14.25" customHeight="1">
      <c r="K367" s="1"/>
      <c r="L367" s="1"/>
      <c r="M367" s="2"/>
      <c r="T367" s="3"/>
    </row>
    <row r="368" ht="14.25" customHeight="1">
      <c r="K368" s="1"/>
      <c r="L368" s="1"/>
      <c r="M368" s="2"/>
      <c r="T368" s="3"/>
    </row>
    <row r="369" ht="14.25" customHeight="1">
      <c r="K369" s="1"/>
      <c r="L369" s="1"/>
      <c r="M369" s="2"/>
      <c r="T369" s="3"/>
    </row>
    <row r="370" ht="14.25" customHeight="1">
      <c r="K370" s="1"/>
      <c r="L370" s="1"/>
      <c r="M370" s="2"/>
      <c r="T370" s="3"/>
    </row>
    <row r="371" ht="14.25" customHeight="1">
      <c r="K371" s="1"/>
      <c r="L371" s="1"/>
      <c r="M371" s="2"/>
      <c r="T371" s="3"/>
    </row>
    <row r="372" ht="14.25" customHeight="1">
      <c r="K372" s="1"/>
      <c r="L372" s="1"/>
      <c r="M372" s="2"/>
      <c r="T372" s="3"/>
    </row>
    <row r="373" ht="14.25" customHeight="1">
      <c r="K373" s="1"/>
      <c r="L373" s="1"/>
      <c r="M373" s="2"/>
      <c r="T373" s="3"/>
    </row>
    <row r="374" ht="14.25" customHeight="1">
      <c r="K374" s="1"/>
      <c r="L374" s="1"/>
      <c r="M374" s="2"/>
      <c r="T374" s="3"/>
    </row>
    <row r="375" ht="14.25" customHeight="1">
      <c r="K375" s="1"/>
      <c r="L375" s="1"/>
      <c r="M375" s="2"/>
      <c r="T375" s="3"/>
    </row>
    <row r="376" ht="14.25" customHeight="1">
      <c r="K376" s="1"/>
      <c r="L376" s="1"/>
      <c r="M376" s="2"/>
      <c r="T376" s="3"/>
    </row>
    <row r="377" ht="14.25" customHeight="1">
      <c r="K377" s="1"/>
      <c r="L377" s="1"/>
      <c r="M377" s="2"/>
      <c r="T377" s="3"/>
    </row>
    <row r="378" ht="14.25" customHeight="1">
      <c r="K378" s="1"/>
      <c r="L378" s="1"/>
      <c r="M378" s="2"/>
      <c r="T378" s="3"/>
    </row>
    <row r="379" ht="14.25" customHeight="1">
      <c r="K379" s="1"/>
      <c r="L379" s="1"/>
      <c r="M379" s="2"/>
      <c r="T379" s="3"/>
    </row>
    <row r="380" ht="14.25" customHeight="1">
      <c r="K380" s="1"/>
      <c r="L380" s="1"/>
      <c r="M380" s="2"/>
      <c r="T380" s="3"/>
    </row>
    <row r="381" ht="14.25" customHeight="1">
      <c r="K381" s="1"/>
      <c r="L381" s="1"/>
      <c r="M381" s="2"/>
      <c r="T381" s="3"/>
    </row>
    <row r="382" ht="14.25" customHeight="1">
      <c r="K382" s="1"/>
      <c r="L382" s="1"/>
      <c r="M382" s="2"/>
      <c r="T382" s="3"/>
    </row>
    <row r="383" ht="14.25" customHeight="1">
      <c r="K383" s="1"/>
      <c r="L383" s="1"/>
      <c r="M383" s="2"/>
      <c r="T383" s="3"/>
    </row>
    <row r="384" ht="14.25" customHeight="1">
      <c r="K384" s="1"/>
      <c r="L384" s="1"/>
      <c r="M384" s="2"/>
      <c r="T384" s="3"/>
    </row>
    <row r="385" ht="14.25" customHeight="1">
      <c r="K385" s="1"/>
      <c r="L385" s="1"/>
      <c r="M385" s="2"/>
      <c r="T385" s="3"/>
    </row>
    <row r="386" ht="14.25" customHeight="1">
      <c r="K386" s="1"/>
      <c r="L386" s="1"/>
      <c r="M386" s="2"/>
      <c r="T386" s="3"/>
    </row>
    <row r="387" ht="14.25" customHeight="1">
      <c r="K387" s="1"/>
      <c r="L387" s="1"/>
      <c r="M387" s="2"/>
      <c r="T387" s="3"/>
    </row>
    <row r="388" ht="14.25" customHeight="1">
      <c r="K388" s="1"/>
      <c r="L388" s="1"/>
      <c r="M388" s="2"/>
      <c r="T388" s="3"/>
    </row>
    <row r="389" ht="14.25" customHeight="1">
      <c r="K389" s="1"/>
      <c r="L389" s="1"/>
      <c r="M389" s="2"/>
      <c r="T389" s="3"/>
    </row>
    <row r="390" ht="14.25" customHeight="1">
      <c r="K390" s="1"/>
      <c r="L390" s="1"/>
      <c r="M390" s="2"/>
      <c r="T390" s="3"/>
    </row>
    <row r="391" ht="14.25" customHeight="1">
      <c r="K391" s="1"/>
      <c r="L391" s="1"/>
      <c r="M391" s="2"/>
      <c r="T391" s="3"/>
    </row>
    <row r="392" ht="14.25" customHeight="1">
      <c r="K392" s="1"/>
      <c r="L392" s="1"/>
      <c r="M392" s="2"/>
      <c r="T392" s="3"/>
    </row>
    <row r="393" ht="14.25" customHeight="1">
      <c r="K393" s="1"/>
      <c r="L393" s="1"/>
      <c r="M393" s="2"/>
      <c r="T393" s="3"/>
    </row>
    <row r="394" ht="14.25" customHeight="1">
      <c r="K394" s="1"/>
      <c r="L394" s="1"/>
      <c r="M394" s="2"/>
      <c r="T394" s="3"/>
    </row>
    <row r="395" ht="14.25" customHeight="1">
      <c r="K395" s="1"/>
      <c r="L395" s="1"/>
      <c r="M395" s="2"/>
      <c r="T395" s="3"/>
    </row>
    <row r="396" ht="14.25" customHeight="1">
      <c r="K396" s="1"/>
      <c r="L396" s="1"/>
      <c r="M396" s="2"/>
      <c r="T396" s="3"/>
    </row>
    <row r="397" ht="14.25" customHeight="1">
      <c r="K397" s="1"/>
      <c r="L397" s="1"/>
      <c r="M397" s="2"/>
      <c r="T397" s="3"/>
    </row>
    <row r="398" ht="14.25" customHeight="1">
      <c r="K398" s="1"/>
      <c r="L398" s="1"/>
      <c r="M398" s="2"/>
      <c r="T398" s="3"/>
    </row>
    <row r="399" ht="14.25" customHeight="1">
      <c r="K399" s="1"/>
      <c r="L399" s="1"/>
      <c r="M399" s="2"/>
      <c r="T399" s="3"/>
    </row>
    <row r="400" ht="14.25" customHeight="1">
      <c r="K400" s="1"/>
      <c r="L400" s="1"/>
      <c r="M400" s="2"/>
      <c r="T400" s="3"/>
    </row>
    <row r="401" ht="14.25" customHeight="1">
      <c r="K401" s="1"/>
      <c r="L401" s="1"/>
      <c r="M401" s="2"/>
      <c r="T401" s="3"/>
    </row>
    <row r="402" ht="14.25" customHeight="1">
      <c r="K402" s="1"/>
      <c r="L402" s="1"/>
      <c r="M402" s="2"/>
      <c r="T402" s="3"/>
    </row>
    <row r="403" ht="14.25" customHeight="1">
      <c r="K403" s="1"/>
      <c r="L403" s="1"/>
      <c r="M403" s="2"/>
      <c r="T403" s="3"/>
    </row>
    <row r="404" ht="14.25" customHeight="1">
      <c r="K404" s="1"/>
      <c r="L404" s="1"/>
      <c r="M404" s="2"/>
      <c r="T404" s="3"/>
    </row>
    <row r="405" ht="14.25" customHeight="1">
      <c r="K405" s="1"/>
      <c r="L405" s="1"/>
      <c r="M405" s="2"/>
      <c r="T405" s="3"/>
    </row>
    <row r="406" ht="14.25" customHeight="1">
      <c r="K406" s="1"/>
      <c r="L406" s="1"/>
      <c r="M406" s="2"/>
      <c r="T406" s="3"/>
    </row>
    <row r="407" ht="14.25" customHeight="1">
      <c r="K407" s="1"/>
      <c r="L407" s="1"/>
      <c r="M407" s="2"/>
      <c r="T407" s="3"/>
    </row>
    <row r="408" ht="14.25" customHeight="1">
      <c r="K408" s="1"/>
      <c r="L408" s="1"/>
      <c r="M408" s="2"/>
      <c r="T408" s="3"/>
    </row>
    <row r="409" ht="14.25" customHeight="1">
      <c r="K409" s="1"/>
      <c r="L409" s="1"/>
      <c r="M409" s="2"/>
      <c r="T409" s="3"/>
    </row>
    <row r="410" ht="14.25" customHeight="1">
      <c r="K410" s="1"/>
      <c r="L410" s="1"/>
      <c r="M410" s="2"/>
      <c r="T410" s="3"/>
    </row>
    <row r="411" ht="14.25" customHeight="1">
      <c r="K411" s="1"/>
      <c r="L411" s="1"/>
      <c r="M411" s="2"/>
      <c r="T411" s="3"/>
    </row>
    <row r="412" ht="14.25" customHeight="1">
      <c r="K412" s="1"/>
      <c r="L412" s="1"/>
      <c r="M412" s="2"/>
      <c r="T412" s="3"/>
    </row>
    <row r="413" ht="14.25" customHeight="1">
      <c r="K413" s="1"/>
      <c r="L413" s="1"/>
      <c r="M413" s="2"/>
      <c r="T413" s="3"/>
    </row>
    <row r="414" ht="14.25" customHeight="1">
      <c r="K414" s="1"/>
      <c r="L414" s="1"/>
      <c r="M414" s="2"/>
      <c r="T414" s="3"/>
    </row>
    <row r="415" ht="14.25" customHeight="1">
      <c r="K415" s="1"/>
      <c r="L415" s="1"/>
      <c r="M415" s="2"/>
      <c r="T415" s="3"/>
    </row>
    <row r="416" ht="14.25" customHeight="1">
      <c r="K416" s="1"/>
      <c r="L416" s="1"/>
      <c r="M416" s="2"/>
      <c r="T416" s="3"/>
    </row>
    <row r="417" ht="14.25" customHeight="1">
      <c r="K417" s="1"/>
      <c r="L417" s="1"/>
      <c r="M417" s="2"/>
      <c r="T417" s="3"/>
    </row>
    <row r="418" ht="14.25" customHeight="1">
      <c r="K418" s="1"/>
      <c r="L418" s="1"/>
      <c r="M418" s="2"/>
      <c r="T418" s="3"/>
    </row>
    <row r="419" ht="14.25" customHeight="1">
      <c r="K419" s="1"/>
      <c r="L419" s="1"/>
      <c r="M419" s="2"/>
      <c r="T419" s="3"/>
    </row>
    <row r="420" ht="14.25" customHeight="1">
      <c r="K420" s="1"/>
      <c r="L420" s="1"/>
      <c r="M420" s="2"/>
      <c r="T420" s="3"/>
    </row>
    <row r="421" ht="14.25" customHeight="1">
      <c r="K421" s="1"/>
      <c r="L421" s="1"/>
      <c r="M421" s="2"/>
      <c r="T421" s="3"/>
    </row>
    <row r="422" ht="14.25" customHeight="1">
      <c r="K422" s="1"/>
      <c r="L422" s="1"/>
      <c r="M422" s="2"/>
      <c r="T422" s="3"/>
    </row>
    <row r="423" ht="14.25" customHeight="1">
      <c r="K423" s="1"/>
      <c r="L423" s="1"/>
      <c r="M423" s="2"/>
      <c r="T423" s="3"/>
    </row>
    <row r="424" ht="14.25" customHeight="1">
      <c r="K424" s="1"/>
      <c r="L424" s="1"/>
      <c r="M424" s="2"/>
      <c r="T424" s="3"/>
    </row>
    <row r="425" ht="14.25" customHeight="1">
      <c r="K425" s="1"/>
      <c r="L425" s="1"/>
      <c r="M425" s="2"/>
      <c r="T425" s="3"/>
    </row>
    <row r="426" ht="14.25" customHeight="1">
      <c r="K426" s="1"/>
      <c r="L426" s="1"/>
      <c r="M426" s="2"/>
      <c r="T426" s="3"/>
    </row>
    <row r="427" ht="14.25" customHeight="1">
      <c r="K427" s="1"/>
      <c r="L427" s="1"/>
      <c r="M427" s="2"/>
      <c r="T427" s="3"/>
    </row>
    <row r="428" ht="14.25" customHeight="1">
      <c r="K428" s="1"/>
      <c r="L428" s="1"/>
      <c r="M428" s="2"/>
      <c r="T428" s="3"/>
    </row>
    <row r="429" ht="14.25" customHeight="1">
      <c r="K429" s="1"/>
      <c r="L429" s="1"/>
      <c r="M429" s="2"/>
      <c r="T429" s="3"/>
    </row>
    <row r="430" ht="14.25" customHeight="1">
      <c r="K430" s="1"/>
      <c r="L430" s="1"/>
      <c r="M430" s="2"/>
      <c r="T430" s="3"/>
    </row>
    <row r="431" ht="14.25" customHeight="1">
      <c r="K431" s="1"/>
      <c r="L431" s="1"/>
      <c r="M431" s="2"/>
      <c r="T431" s="3"/>
    </row>
    <row r="432" ht="14.25" customHeight="1">
      <c r="K432" s="1"/>
      <c r="L432" s="1"/>
      <c r="M432" s="2"/>
      <c r="T432" s="3"/>
    </row>
    <row r="433" ht="14.25" customHeight="1">
      <c r="K433" s="1"/>
      <c r="L433" s="1"/>
      <c r="M433" s="2"/>
      <c r="T433" s="3"/>
    </row>
    <row r="434" ht="14.25" customHeight="1">
      <c r="K434" s="1"/>
      <c r="L434" s="1"/>
      <c r="M434" s="2"/>
      <c r="T434" s="3"/>
    </row>
    <row r="435" ht="14.25" customHeight="1">
      <c r="K435" s="1"/>
      <c r="L435" s="1"/>
      <c r="M435" s="2"/>
      <c r="T435" s="3"/>
    </row>
    <row r="436" ht="14.25" customHeight="1">
      <c r="K436" s="1"/>
      <c r="L436" s="1"/>
      <c r="M436" s="2"/>
      <c r="T436" s="3"/>
    </row>
    <row r="437" ht="14.25" customHeight="1">
      <c r="K437" s="1"/>
      <c r="L437" s="1"/>
      <c r="M437" s="2"/>
      <c r="T437" s="3"/>
    </row>
    <row r="438" ht="14.25" customHeight="1">
      <c r="K438" s="1"/>
      <c r="L438" s="1"/>
      <c r="M438" s="2"/>
      <c r="T438" s="3"/>
    </row>
    <row r="439" ht="14.25" customHeight="1">
      <c r="K439" s="1"/>
      <c r="L439" s="1"/>
      <c r="M439" s="2"/>
      <c r="T439" s="3"/>
    </row>
    <row r="440" ht="14.25" customHeight="1">
      <c r="K440" s="1"/>
      <c r="L440" s="1"/>
      <c r="M440" s="2"/>
      <c r="T440" s="3"/>
    </row>
    <row r="441" ht="14.25" customHeight="1">
      <c r="K441" s="1"/>
      <c r="L441" s="1"/>
      <c r="M441" s="2"/>
      <c r="T441" s="3"/>
    </row>
    <row r="442" ht="14.25" customHeight="1">
      <c r="K442" s="1"/>
      <c r="L442" s="1"/>
      <c r="M442" s="2"/>
      <c r="T442" s="3"/>
    </row>
    <row r="443" ht="14.25" customHeight="1">
      <c r="K443" s="1"/>
      <c r="L443" s="1"/>
      <c r="M443" s="2"/>
      <c r="T443" s="3"/>
    </row>
    <row r="444" ht="14.25" customHeight="1">
      <c r="K444" s="1"/>
      <c r="L444" s="1"/>
      <c r="M444" s="2"/>
      <c r="T444" s="3"/>
    </row>
    <row r="445" ht="14.25" customHeight="1">
      <c r="K445" s="1"/>
      <c r="L445" s="1"/>
      <c r="M445" s="2"/>
      <c r="T445" s="3"/>
    </row>
    <row r="446" ht="14.25" customHeight="1">
      <c r="K446" s="1"/>
      <c r="L446" s="1"/>
      <c r="M446" s="2"/>
      <c r="T446" s="3"/>
    </row>
    <row r="447" ht="14.25" customHeight="1">
      <c r="K447" s="1"/>
      <c r="L447" s="1"/>
      <c r="M447" s="2"/>
      <c r="T447" s="3"/>
    </row>
    <row r="448" ht="14.25" customHeight="1">
      <c r="K448" s="1"/>
      <c r="L448" s="1"/>
      <c r="M448" s="2"/>
      <c r="T448" s="3"/>
    </row>
    <row r="449" ht="14.25" customHeight="1">
      <c r="K449" s="1"/>
      <c r="L449" s="1"/>
      <c r="M449" s="2"/>
      <c r="T449" s="3"/>
    </row>
    <row r="450" ht="14.25" customHeight="1">
      <c r="K450" s="1"/>
      <c r="L450" s="1"/>
      <c r="M450" s="2"/>
      <c r="T450" s="3"/>
    </row>
    <row r="451" ht="14.25" customHeight="1">
      <c r="K451" s="1"/>
      <c r="L451" s="1"/>
      <c r="M451" s="2"/>
      <c r="T451" s="3"/>
    </row>
    <row r="452" ht="14.25" customHeight="1">
      <c r="K452" s="1"/>
      <c r="L452" s="1"/>
      <c r="M452" s="2"/>
      <c r="T452" s="3"/>
    </row>
    <row r="453" ht="14.25" customHeight="1">
      <c r="K453" s="1"/>
      <c r="L453" s="1"/>
      <c r="M453" s="2"/>
      <c r="T453" s="3"/>
    </row>
    <row r="454" ht="14.25" customHeight="1">
      <c r="K454" s="1"/>
      <c r="L454" s="1"/>
      <c r="M454" s="2"/>
      <c r="T454" s="3"/>
    </row>
    <row r="455" ht="14.25" customHeight="1">
      <c r="K455" s="1"/>
      <c r="L455" s="1"/>
      <c r="M455" s="2"/>
      <c r="T455" s="3"/>
    </row>
    <row r="456" ht="14.25" customHeight="1">
      <c r="K456" s="1"/>
      <c r="L456" s="1"/>
      <c r="M456" s="2"/>
      <c r="T456" s="3"/>
    </row>
    <row r="457" ht="14.25" customHeight="1">
      <c r="K457" s="1"/>
      <c r="L457" s="1"/>
      <c r="M457" s="2"/>
      <c r="T457" s="3"/>
    </row>
    <row r="458" ht="14.25" customHeight="1">
      <c r="K458" s="1"/>
      <c r="L458" s="1"/>
      <c r="M458" s="2"/>
      <c r="T458" s="3"/>
    </row>
    <row r="459" ht="14.25" customHeight="1">
      <c r="K459" s="1"/>
      <c r="L459" s="1"/>
      <c r="M459" s="2"/>
      <c r="T459" s="3"/>
    </row>
    <row r="460" ht="14.25" customHeight="1">
      <c r="K460" s="1"/>
      <c r="L460" s="1"/>
      <c r="M460" s="2"/>
      <c r="T460" s="3"/>
    </row>
    <row r="461" ht="14.25" customHeight="1">
      <c r="K461" s="1"/>
      <c r="L461" s="1"/>
      <c r="M461" s="2"/>
      <c r="T461" s="3"/>
    </row>
    <row r="462" ht="14.25" customHeight="1">
      <c r="K462" s="1"/>
      <c r="L462" s="1"/>
      <c r="M462" s="2"/>
      <c r="T462" s="3"/>
    </row>
    <row r="463" ht="14.25" customHeight="1">
      <c r="K463" s="1"/>
      <c r="L463" s="1"/>
      <c r="M463" s="2"/>
      <c r="T463" s="3"/>
    </row>
    <row r="464" ht="14.25" customHeight="1">
      <c r="K464" s="1"/>
      <c r="L464" s="1"/>
      <c r="M464" s="2"/>
      <c r="T464" s="3"/>
    </row>
    <row r="465" ht="14.25" customHeight="1">
      <c r="K465" s="1"/>
      <c r="L465" s="1"/>
      <c r="M465" s="2"/>
      <c r="T465" s="3"/>
    </row>
    <row r="466" ht="14.25" customHeight="1">
      <c r="K466" s="1"/>
      <c r="L466" s="1"/>
      <c r="M466" s="2"/>
      <c r="T466" s="3"/>
    </row>
    <row r="467" ht="14.25" customHeight="1">
      <c r="K467" s="1"/>
      <c r="L467" s="1"/>
      <c r="M467" s="2"/>
      <c r="T467" s="3"/>
    </row>
    <row r="468" ht="14.25" customHeight="1">
      <c r="K468" s="1"/>
      <c r="L468" s="1"/>
      <c r="M468" s="2"/>
      <c r="T468" s="3"/>
    </row>
    <row r="469" ht="14.25" customHeight="1">
      <c r="K469" s="1"/>
      <c r="L469" s="1"/>
      <c r="M469" s="2"/>
      <c r="T469" s="3"/>
    </row>
    <row r="470" ht="14.25" customHeight="1">
      <c r="K470" s="1"/>
      <c r="L470" s="1"/>
      <c r="M470" s="2"/>
      <c r="T470" s="3"/>
    </row>
    <row r="471" ht="14.25" customHeight="1">
      <c r="K471" s="1"/>
      <c r="L471" s="1"/>
      <c r="M471" s="2"/>
      <c r="T471" s="3"/>
    </row>
    <row r="472" ht="14.25" customHeight="1">
      <c r="K472" s="1"/>
      <c r="L472" s="1"/>
      <c r="M472" s="2"/>
      <c r="T472" s="3"/>
    </row>
    <row r="473" ht="14.25" customHeight="1">
      <c r="K473" s="1"/>
      <c r="L473" s="1"/>
      <c r="M473" s="2"/>
      <c r="T473" s="3"/>
    </row>
    <row r="474" ht="14.25" customHeight="1">
      <c r="K474" s="1"/>
      <c r="L474" s="1"/>
      <c r="M474" s="2"/>
      <c r="T474" s="3"/>
    </row>
    <row r="475" ht="14.25" customHeight="1">
      <c r="K475" s="1"/>
      <c r="L475" s="1"/>
      <c r="M475" s="2"/>
      <c r="T475" s="3"/>
    </row>
    <row r="476" ht="14.25" customHeight="1">
      <c r="K476" s="1"/>
      <c r="L476" s="1"/>
      <c r="M476" s="2"/>
      <c r="T476" s="3"/>
    </row>
    <row r="477" ht="14.25" customHeight="1">
      <c r="K477" s="1"/>
      <c r="L477" s="1"/>
      <c r="M477" s="2"/>
      <c r="T477" s="3"/>
    </row>
    <row r="478" ht="14.25" customHeight="1">
      <c r="K478" s="1"/>
      <c r="L478" s="1"/>
      <c r="M478" s="2"/>
      <c r="T478" s="3"/>
    </row>
    <row r="479" ht="14.25" customHeight="1">
      <c r="K479" s="1"/>
      <c r="L479" s="1"/>
      <c r="M479" s="2"/>
      <c r="T479" s="3"/>
    </row>
    <row r="480" ht="14.25" customHeight="1">
      <c r="K480" s="1"/>
      <c r="L480" s="1"/>
      <c r="M480" s="2"/>
      <c r="T480" s="3"/>
    </row>
    <row r="481" ht="14.25" customHeight="1">
      <c r="K481" s="1"/>
      <c r="L481" s="1"/>
      <c r="M481" s="2"/>
      <c r="T481" s="3"/>
    </row>
    <row r="482" ht="14.25" customHeight="1">
      <c r="K482" s="1"/>
      <c r="L482" s="1"/>
      <c r="M482" s="2"/>
      <c r="T482" s="3"/>
    </row>
    <row r="483" ht="14.25" customHeight="1">
      <c r="K483" s="1"/>
      <c r="L483" s="1"/>
      <c r="M483" s="2"/>
      <c r="T483" s="3"/>
    </row>
    <row r="484" ht="14.25" customHeight="1">
      <c r="K484" s="1"/>
      <c r="L484" s="1"/>
      <c r="M484" s="2"/>
      <c r="T484" s="3"/>
    </row>
    <row r="485" ht="14.25" customHeight="1">
      <c r="K485" s="1"/>
      <c r="L485" s="1"/>
      <c r="M485" s="2"/>
      <c r="T485" s="3"/>
    </row>
    <row r="486" ht="14.25" customHeight="1">
      <c r="K486" s="1"/>
      <c r="L486" s="1"/>
      <c r="M486" s="2"/>
      <c r="T486" s="3"/>
    </row>
    <row r="487" ht="14.25" customHeight="1">
      <c r="K487" s="1"/>
      <c r="L487" s="1"/>
      <c r="M487" s="2"/>
      <c r="T487" s="3"/>
    </row>
    <row r="488" ht="14.25" customHeight="1">
      <c r="K488" s="1"/>
      <c r="L488" s="1"/>
      <c r="M488" s="2"/>
      <c r="T488" s="3"/>
    </row>
    <row r="489" ht="14.25" customHeight="1">
      <c r="K489" s="1"/>
      <c r="L489" s="1"/>
      <c r="M489" s="2"/>
      <c r="T489" s="3"/>
    </row>
    <row r="490" ht="14.25" customHeight="1">
      <c r="K490" s="1"/>
      <c r="L490" s="1"/>
      <c r="M490" s="2"/>
      <c r="T490" s="3"/>
    </row>
    <row r="491" ht="14.25" customHeight="1">
      <c r="K491" s="1"/>
      <c r="L491" s="1"/>
      <c r="M491" s="2"/>
      <c r="T491" s="3"/>
    </row>
    <row r="492" ht="14.25" customHeight="1">
      <c r="K492" s="1"/>
      <c r="L492" s="1"/>
      <c r="M492" s="2"/>
      <c r="T492" s="3"/>
    </row>
    <row r="493" ht="14.25" customHeight="1">
      <c r="K493" s="1"/>
      <c r="L493" s="1"/>
      <c r="M493" s="2"/>
      <c r="T493" s="3"/>
    </row>
    <row r="494" ht="14.25" customHeight="1">
      <c r="K494" s="1"/>
      <c r="L494" s="1"/>
      <c r="M494" s="2"/>
      <c r="T494" s="3"/>
    </row>
    <row r="495" ht="14.25" customHeight="1">
      <c r="K495" s="1"/>
      <c r="L495" s="1"/>
      <c r="M495" s="2"/>
      <c r="T495" s="3"/>
    </row>
    <row r="496" ht="14.25" customHeight="1">
      <c r="K496" s="1"/>
      <c r="L496" s="1"/>
      <c r="M496" s="2"/>
      <c r="T496" s="3"/>
    </row>
    <row r="497" ht="14.25" customHeight="1">
      <c r="K497" s="1"/>
      <c r="L497" s="1"/>
      <c r="M497" s="2"/>
      <c r="T497" s="3"/>
    </row>
    <row r="498" ht="14.25" customHeight="1">
      <c r="K498" s="1"/>
      <c r="L498" s="1"/>
      <c r="M498" s="2"/>
      <c r="T498" s="3"/>
    </row>
    <row r="499" ht="14.25" customHeight="1">
      <c r="K499" s="1"/>
      <c r="L499" s="1"/>
      <c r="M499" s="2"/>
      <c r="T499" s="3"/>
    </row>
    <row r="500" ht="14.25" customHeight="1">
      <c r="K500" s="1"/>
      <c r="L500" s="1"/>
      <c r="M500" s="2"/>
      <c r="T500" s="3"/>
    </row>
    <row r="501" ht="14.25" customHeight="1">
      <c r="K501" s="1"/>
      <c r="L501" s="1"/>
      <c r="M501" s="2"/>
      <c r="T501" s="3"/>
    </row>
    <row r="502" ht="14.25" customHeight="1">
      <c r="K502" s="1"/>
      <c r="L502" s="1"/>
      <c r="M502" s="2"/>
      <c r="T502" s="3"/>
    </row>
    <row r="503" ht="14.25" customHeight="1">
      <c r="K503" s="1"/>
      <c r="L503" s="1"/>
      <c r="M503" s="2"/>
      <c r="T503" s="3"/>
    </row>
    <row r="504" ht="14.25" customHeight="1">
      <c r="K504" s="1"/>
      <c r="L504" s="1"/>
      <c r="M504" s="2"/>
      <c r="T504" s="3"/>
    </row>
    <row r="505" ht="14.25" customHeight="1">
      <c r="K505" s="1"/>
      <c r="L505" s="1"/>
      <c r="M505" s="2"/>
      <c r="T505" s="3"/>
    </row>
    <row r="506" ht="14.25" customHeight="1">
      <c r="K506" s="1"/>
      <c r="L506" s="1"/>
      <c r="M506" s="2"/>
      <c r="T506" s="3"/>
    </row>
    <row r="507" ht="14.25" customHeight="1">
      <c r="K507" s="1"/>
      <c r="L507" s="1"/>
      <c r="M507" s="2"/>
      <c r="T507" s="3"/>
    </row>
    <row r="508" ht="14.25" customHeight="1">
      <c r="K508" s="1"/>
      <c r="L508" s="1"/>
      <c r="M508" s="2"/>
      <c r="T508" s="3"/>
    </row>
    <row r="509" ht="14.25" customHeight="1">
      <c r="K509" s="1"/>
      <c r="L509" s="1"/>
      <c r="M509" s="2"/>
      <c r="T509" s="3"/>
    </row>
    <row r="510" ht="14.25" customHeight="1">
      <c r="K510" s="1"/>
      <c r="L510" s="1"/>
      <c r="M510" s="2"/>
      <c r="T510" s="3"/>
    </row>
    <row r="511" ht="14.25" customHeight="1">
      <c r="K511" s="1"/>
      <c r="L511" s="1"/>
      <c r="M511" s="2"/>
      <c r="T511" s="3"/>
    </row>
    <row r="512" ht="14.25" customHeight="1">
      <c r="K512" s="1"/>
      <c r="L512" s="1"/>
      <c r="M512" s="2"/>
      <c r="T512" s="3"/>
    </row>
    <row r="513" ht="14.25" customHeight="1">
      <c r="K513" s="1"/>
      <c r="L513" s="1"/>
      <c r="M513" s="2"/>
      <c r="T513" s="3"/>
    </row>
    <row r="514" ht="14.25" customHeight="1">
      <c r="K514" s="1"/>
      <c r="L514" s="1"/>
      <c r="M514" s="2"/>
      <c r="T514" s="3"/>
    </row>
    <row r="515" ht="14.25" customHeight="1">
      <c r="K515" s="1"/>
      <c r="L515" s="1"/>
      <c r="M515" s="2"/>
      <c r="T515" s="3"/>
    </row>
    <row r="516" ht="14.25" customHeight="1">
      <c r="K516" s="1"/>
      <c r="L516" s="1"/>
      <c r="M516" s="2"/>
      <c r="T516" s="3"/>
    </row>
    <row r="517" ht="14.25" customHeight="1">
      <c r="K517" s="1"/>
      <c r="L517" s="1"/>
      <c r="M517" s="2"/>
      <c r="T517" s="3"/>
    </row>
    <row r="518" ht="14.25" customHeight="1">
      <c r="K518" s="1"/>
      <c r="L518" s="1"/>
      <c r="M518" s="2"/>
      <c r="T518" s="3"/>
    </row>
    <row r="519" ht="14.25" customHeight="1">
      <c r="K519" s="1"/>
      <c r="L519" s="1"/>
      <c r="M519" s="2"/>
      <c r="T519" s="3"/>
    </row>
    <row r="520" ht="14.25" customHeight="1">
      <c r="K520" s="1"/>
      <c r="L520" s="1"/>
      <c r="M520" s="2"/>
      <c r="T520" s="3"/>
    </row>
    <row r="521" ht="14.25" customHeight="1">
      <c r="K521" s="1"/>
      <c r="L521" s="1"/>
      <c r="M521" s="2"/>
      <c r="T521" s="3"/>
    </row>
    <row r="522" ht="14.25" customHeight="1">
      <c r="K522" s="1"/>
      <c r="L522" s="1"/>
      <c r="M522" s="2"/>
      <c r="T522" s="3"/>
    </row>
    <row r="523" ht="14.25" customHeight="1">
      <c r="K523" s="1"/>
      <c r="L523" s="1"/>
      <c r="M523" s="2"/>
      <c r="T523" s="3"/>
    </row>
    <row r="524" ht="14.25" customHeight="1">
      <c r="K524" s="1"/>
      <c r="L524" s="1"/>
      <c r="M524" s="2"/>
      <c r="T524" s="3"/>
    </row>
    <row r="525" ht="14.25" customHeight="1">
      <c r="K525" s="1"/>
      <c r="L525" s="1"/>
      <c r="M525" s="2"/>
      <c r="T525" s="3"/>
    </row>
    <row r="526" ht="14.25" customHeight="1">
      <c r="K526" s="1"/>
      <c r="L526" s="1"/>
      <c r="M526" s="2"/>
      <c r="T526" s="3"/>
    </row>
    <row r="527" ht="14.25" customHeight="1">
      <c r="K527" s="1"/>
      <c r="L527" s="1"/>
      <c r="M527" s="2"/>
      <c r="T527" s="3"/>
    </row>
    <row r="528" ht="14.25" customHeight="1">
      <c r="K528" s="1"/>
      <c r="L528" s="1"/>
      <c r="M528" s="2"/>
      <c r="T528" s="3"/>
    </row>
    <row r="529" ht="14.25" customHeight="1">
      <c r="K529" s="1"/>
      <c r="L529" s="1"/>
      <c r="M529" s="2"/>
      <c r="T529" s="3"/>
    </row>
    <row r="530" ht="14.25" customHeight="1">
      <c r="K530" s="1"/>
      <c r="L530" s="1"/>
      <c r="M530" s="2"/>
      <c r="T530" s="3"/>
    </row>
    <row r="531" ht="14.25" customHeight="1">
      <c r="K531" s="1"/>
      <c r="L531" s="1"/>
      <c r="M531" s="2"/>
      <c r="T531" s="3"/>
    </row>
    <row r="532" ht="14.25" customHeight="1">
      <c r="K532" s="1"/>
      <c r="L532" s="1"/>
      <c r="M532" s="2"/>
      <c r="T532" s="3"/>
    </row>
    <row r="533" ht="14.25" customHeight="1">
      <c r="K533" s="1"/>
      <c r="L533" s="1"/>
      <c r="M533" s="2"/>
      <c r="T533" s="3"/>
    </row>
    <row r="534" ht="14.25" customHeight="1">
      <c r="K534" s="1"/>
      <c r="L534" s="1"/>
      <c r="M534" s="2"/>
      <c r="T534" s="3"/>
    </row>
    <row r="535" ht="14.25" customHeight="1">
      <c r="K535" s="1"/>
      <c r="L535" s="1"/>
      <c r="M535" s="2"/>
      <c r="T535" s="3"/>
    </row>
    <row r="536" ht="14.25" customHeight="1">
      <c r="K536" s="1"/>
      <c r="L536" s="1"/>
      <c r="M536" s="2"/>
      <c r="T536" s="3"/>
    </row>
    <row r="537" ht="14.25" customHeight="1">
      <c r="K537" s="1"/>
      <c r="L537" s="1"/>
      <c r="M537" s="2"/>
      <c r="T537" s="3"/>
    </row>
    <row r="538" ht="14.25" customHeight="1">
      <c r="K538" s="1"/>
      <c r="L538" s="1"/>
      <c r="M538" s="2"/>
      <c r="T538" s="3"/>
    </row>
    <row r="539" ht="14.25" customHeight="1">
      <c r="K539" s="1"/>
      <c r="L539" s="1"/>
      <c r="M539" s="2"/>
      <c r="T539" s="3"/>
    </row>
    <row r="540" ht="14.25" customHeight="1">
      <c r="K540" s="1"/>
      <c r="L540" s="1"/>
      <c r="M540" s="2"/>
      <c r="T540" s="3"/>
    </row>
    <row r="541" ht="14.25" customHeight="1">
      <c r="K541" s="1"/>
      <c r="L541" s="1"/>
      <c r="M541" s="2"/>
      <c r="T541" s="3"/>
    </row>
    <row r="542" ht="14.25" customHeight="1">
      <c r="K542" s="1"/>
      <c r="L542" s="1"/>
      <c r="M542" s="2"/>
      <c r="T542" s="3"/>
    </row>
    <row r="543" ht="14.25" customHeight="1">
      <c r="K543" s="1"/>
      <c r="L543" s="1"/>
      <c r="M543" s="2"/>
      <c r="T543" s="3"/>
    </row>
    <row r="544" ht="14.25" customHeight="1">
      <c r="K544" s="1"/>
      <c r="L544" s="1"/>
      <c r="M544" s="2"/>
      <c r="T544" s="3"/>
    </row>
    <row r="545" ht="14.25" customHeight="1">
      <c r="K545" s="1"/>
      <c r="L545" s="1"/>
      <c r="M545" s="2"/>
      <c r="T545" s="3"/>
    </row>
    <row r="546" ht="14.25" customHeight="1">
      <c r="K546" s="1"/>
      <c r="L546" s="1"/>
      <c r="M546" s="2"/>
      <c r="T546" s="3"/>
    </row>
    <row r="547" ht="14.25" customHeight="1">
      <c r="K547" s="1"/>
      <c r="L547" s="1"/>
      <c r="M547" s="2"/>
      <c r="T547" s="3"/>
    </row>
    <row r="548" ht="14.25" customHeight="1">
      <c r="K548" s="1"/>
      <c r="L548" s="1"/>
      <c r="M548" s="2"/>
      <c r="T548" s="3"/>
    </row>
    <row r="549" ht="14.25" customHeight="1">
      <c r="K549" s="1"/>
      <c r="L549" s="1"/>
      <c r="M549" s="2"/>
      <c r="T549" s="3"/>
    </row>
    <row r="550" ht="14.25" customHeight="1">
      <c r="K550" s="1"/>
      <c r="L550" s="1"/>
      <c r="M550" s="2"/>
      <c r="T550" s="3"/>
    </row>
    <row r="551" ht="14.25" customHeight="1">
      <c r="K551" s="1"/>
      <c r="L551" s="1"/>
      <c r="M551" s="2"/>
      <c r="T551" s="3"/>
    </row>
    <row r="552" ht="14.25" customHeight="1">
      <c r="K552" s="1"/>
      <c r="L552" s="1"/>
      <c r="M552" s="2"/>
      <c r="T552" s="3"/>
    </row>
    <row r="553" ht="14.25" customHeight="1">
      <c r="K553" s="1"/>
      <c r="L553" s="1"/>
      <c r="M553" s="2"/>
      <c r="T553" s="3"/>
    </row>
    <row r="554" ht="14.25" customHeight="1">
      <c r="K554" s="1"/>
      <c r="L554" s="1"/>
      <c r="M554" s="2"/>
      <c r="T554" s="3"/>
    </row>
    <row r="555" ht="14.25" customHeight="1">
      <c r="K555" s="1"/>
      <c r="L555" s="1"/>
      <c r="M555" s="2"/>
      <c r="T555" s="3"/>
    </row>
    <row r="556" ht="14.25" customHeight="1">
      <c r="K556" s="1"/>
      <c r="L556" s="1"/>
      <c r="M556" s="2"/>
      <c r="T556" s="3"/>
    </row>
    <row r="557" ht="14.25" customHeight="1">
      <c r="K557" s="1"/>
      <c r="L557" s="1"/>
      <c r="M557" s="2"/>
      <c r="T557" s="3"/>
    </row>
    <row r="558" ht="14.25" customHeight="1">
      <c r="K558" s="1"/>
      <c r="L558" s="1"/>
      <c r="M558" s="2"/>
      <c r="T558" s="3"/>
    </row>
    <row r="559" ht="14.25" customHeight="1">
      <c r="K559" s="1"/>
      <c r="L559" s="1"/>
      <c r="M559" s="2"/>
      <c r="T559" s="3"/>
    </row>
    <row r="560" ht="14.25" customHeight="1">
      <c r="K560" s="1"/>
      <c r="L560" s="1"/>
      <c r="M560" s="2"/>
      <c r="T560" s="3"/>
    </row>
    <row r="561" ht="14.25" customHeight="1">
      <c r="K561" s="1"/>
      <c r="L561" s="1"/>
      <c r="M561" s="2"/>
      <c r="T561" s="3"/>
    </row>
    <row r="562" ht="14.25" customHeight="1">
      <c r="K562" s="1"/>
      <c r="L562" s="1"/>
      <c r="M562" s="2"/>
      <c r="T562" s="3"/>
    </row>
    <row r="563" ht="14.25" customHeight="1">
      <c r="K563" s="1"/>
      <c r="L563" s="1"/>
      <c r="M563" s="2"/>
      <c r="T563" s="3"/>
    </row>
    <row r="564" ht="14.25" customHeight="1">
      <c r="K564" s="1"/>
      <c r="L564" s="1"/>
      <c r="M564" s="2"/>
      <c r="T564" s="3"/>
    </row>
    <row r="565" ht="14.25" customHeight="1">
      <c r="K565" s="1"/>
      <c r="L565" s="1"/>
      <c r="M565" s="2"/>
      <c r="T565" s="3"/>
    </row>
    <row r="566" ht="14.25" customHeight="1">
      <c r="K566" s="1"/>
      <c r="L566" s="1"/>
      <c r="M566" s="2"/>
      <c r="T566" s="3"/>
    </row>
    <row r="567" ht="14.25" customHeight="1">
      <c r="K567" s="1"/>
      <c r="L567" s="1"/>
      <c r="M567" s="2"/>
      <c r="T567" s="3"/>
    </row>
    <row r="568" ht="14.25" customHeight="1">
      <c r="K568" s="1"/>
      <c r="L568" s="1"/>
      <c r="M568" s="2"/>
      <c r="T568" s="3"/>
    </row>
    <row r="569" ht="14.25" customHeight="1">
      <c r="K569" s="1"/>
      <c r="L569" s="1"/>
      <c r="M569" s="2"/>
      <c r="T569" s="3"/>
    </row>
    <row r="570" ht="14.25" customHeight="1">
      <c r="K570" s="1"/>
      <c r="L570" s="1"/>
      <c r="M570" s="2"/>
      <c r="T570" s="3"/>
    </row>
    <row r="571" ht="14.25" customHeight="1">
      <c r="K571" s="1"/>
      <c r="L571" s="1"/>
      <c r="M571" s="2"/>
      <c r="T571" s="3"/>
    </row>
    <row r="572" ht="14.25" customHeight="1">
      <c r="K572" s="1"/>
      <c r="L572" s="1"/>
      <c r="M572" s="2"/>
      <c r="T572" s="3"/>
    </row>
    <row r="573" ht="14.25" customHeight="1">
      <c r="K573" s="1"/>
      <c r="L573" s="1"/>
      <c r="M573" s="2"/>
      <c r="T573" s="3"/>
    </row>
    <row r="574" ht="14.25" customHeight="1">
      <c r="K574" s="1"/>
      <c r="L574" s="1"/>
      <c r="M574" s="2"/>
      <c r="T574" s="3"/>
    </row>
    <row r="575" ht="14.25" customHeight="1">
      <c r="K575" s="1"/>
      <c r="L575" s="1"/>
      <c r="M575" s="2"/>
      <c r="T575" s="3"/>
    </row>
    <row r="576" ht="14.25" customHeight="1">
      <c r="K576" s="1"/>
      <c r="L576" s="1"/>
      <c r="M576" s="2"/>
      <c r="T576" s="3"/>
    </row>
    <row r="577" ht="14.25" customHeight="1">
      <c r="K577" s="1"/>
      <c r="L577" s="1"/>
      <c r="M577" s="2"/>
      <c r="T577" s="3"/>
    </row>
    <row r="578" ht="14.25" customHeight="1">
      <c r="K578" s="1"/>
      <c r="L578" s="1"/>
      <c r="M578" s="2"/>
      <c r="T578" s="3"/>
    </row>
    <row r="579" ht="14.25" customHeight="1">
      <c r="K579" s="1"/>
      <c r="L579" s="1"/>
      <c r="M579" s="2"/>
      <c r="T579" s="3"/>
    </row>
    <row r="580" ht="14.25" customHeight="1">
      <c r="K580" s="1"/>
      <c r="L580" s="1"/>
      <c r="M580" s="2"/>
      <c r="T580" s="3"/>
    </row>
    <row r="581" ht="14.25" customHeight="1">
      <c r="K581" s="1"/>
      <c r="L581" s="1"/>
      <c r="M581" s="2"/>
      <c r="T581" s="3"/>
    </row>
    <row r="582" ht="14.25" customHeight="1">
      <c r="K582" s="1"/>
      <c r="L582" s="1"/>
      <c r="M582" s="2"/>
      <c r="T582" s="3"/>
    </row>
    <row r="583" ht="14.25" customHeight="1">
      <c r="K583" s="1"/>
      <c r="L583" s="1"/>
      <c r="M583" s="2"/>
      <c r="T583" s="3"/>
    </row>
    <row r="584" ht="14.25" customHeight="1">
      <c r="K584" s="1"/>
      <c r="L584" s="1"/>
      <c r="M584" s="2"/>
      <c r="T584" s="3"/>
    </row>
    <row r="585" ht="14.25" customHeight="1">
      <c r="K585" s="1"/>
      <c r="L585" s="1"/>
      <c r="M585" s="2"/>
      <c r="T585" s="3"/>
    </row>
    <row r="586" ht="14.25" customHeight="1">
      <c r="K586" s="1"/>
      <c r="L586" s="1"/>
      <c r="M586" s="2"/>
      <c r="T586" s="3"/>
    </row>
    <row r="587" ht="14.25" customHeight="1">
      <c r="K587" s="1"/>
      <c r="L587" s="1"/>
      <c r="M587" s="2"/>
      <c r="T587" s="3"/>
    </row>
    <row r="588" ht="14.25" customHeight="1">
      <c r="K588" s="1"/>
      <c r="L588" s="1"/>
      <c r="M588" s="2"/>
      <c r="T588" s="3"/>
    </row>
    <row r="589" ht="14.25" customHeight="1">
      <c r="K589" s="1"/>
      <c r="L589" s="1"/>
      <c r="M589" s="2"/>
      <c r="T589" s="3"/>
    </row>
    <row r="590" ht="14.25" customHeight="1">
      <c r="K590" s="1"/>
      <c r="L590" s="1"/>
      <c r="M590" s="2"/>
      <c r="T590" s="3"/>
    </row>
    <row r="591" ht="14.25" customHeight="1">
      <c r="K591" s="1"/>
      <c r="L591" s="1"/>
      <c r="M591" s="2"/>
      <c r="T591" s="3"/>
    </row>
    <row r="592" ht="14.25" customHeight="1">
      <c r="K592" s="1"/>
      <c r="L592" s="1"/>
      <c r="M592" s="2"/>
      <c r="T592" s="3"/>
    </row>
    <row r="593" ht="14.25" customHeight="1">
      <c r="K593" s="1"/>
      <c r="L593" s="1"/>
      <c r="M593" s="2"/>
      <c r="T593" s="3"/>
    </row>
    <row r="594" ht="14.25" customHeight="1">
      <c r="K594" s="1"/>
      <c r="L594" s="1"/>
      <c r="M594" s="2"/>
      <c r="T594" s="3"/>
    </row>
    <row r="595" ht="14.25" customHeight="1">
      <c r="K595" s="1"/>
      <c r="L595" s="1"/>
      <c r="M595" s="2"/>
      <c r="T595" s="3"/>
    </row>
    <row r="596" ht="14.25" customHeight="1">
      <c r="K596" s="1"/>
      <c r="L596" s="1"/>
      <c r="M596" s="2"/>
      <c r="T596" s="3"/>
    </row>
    <row r="597" ht="14.25" customHeight="1">
      <c r="K597" s="1"/>
      <c r="L597" s="1"/>
      <c r="M597" s="2"/>
      <c r="T597" s="3"/>
    </row>
    <row r="598" ht="14.25" customHeight="1">
      <c r="K598" s="1"/>
      <c r="L598" s="1"/>
      <c r="M598" s="2"/>
      <c r="T598" s="3"/>
    </row>
    <row r="599" ht="14.25" customHeight="1">
      <c r="K599" s="1"/>
      <c r="L599" s="1"/>
      <c r="M599" s="2"/>
      <c r="T599" s="3"/>
    </row>
    <row r="600" ht="14.25" customHeight="1">
      <c r="K600" s="1"/>
      <c r="L600" s="1"/>
      <c r="M600" s="2"/>
      <c r="T600" s="3"/>
    </row>
    <row r="601" ht="14.25" customHeight="1">
      <c r="K601" s="1"/>
      <c r="L601" s="1"/>
      <c r="M601" s="2"/>
      <c r="T601" s="3"/>
    </row>
    <row r="602" ht="14.25" customHeight="1">
      <c r="K602" s="1"/>
      <c r="L602" s="1"/>
      <c r="M602" s="2"/>
      <c r="T602" s="3"/>
    </row>
    <row r="603" ht="14.25" customHeight="1">
      <c r="K603" s="1"/>
      <c r="L603" s="1"/>
      <c r="M603" s="2"/>
      <c r="T603" s="3"/>
    </row>
    <row r="604" ht="14.25" customHeight="1">
      <c r="K604" s="1"/>
      <c r="L604" s="1"/>
      <c r="M604" s="2"/>
      <c r="T604" s="3"/>
    </row>
    <row r="605" ht="14.25" customHeight="1">
      <c r="K605" s="1"/>
      <c r="L605" s="1"/>
      <c r="M605" s="2"/>
      <c r="T605" s="3"/>
    </row>
    <row r="606" ht="14.25" customHeight="1">
      <c r="K606" s="1"/>
      <c r="L606" s="1"/>
      <c r="M606" s="2"/>
      <c r="T606" s="3"/>
    </row>
    <row r="607" ht="14.25" customHeight="1">
      <c r="K607" s="1"/>
      <c r="L607" s="1"/>
      <c r="M607" s="2"/>
      <c r="T607" s="3"/>
    </row>
    <row r="608" ht="14.25" customHeight="1">
      <c r="K608" s="1"/>
      <c r="L608" s="1"/>
      <c r="M608" s="2"/>
      <c r="T608" s="3"/>
    </row>
    <row r="609" ht="14.25" customHeight="1">
      <c r="K609" s="1"/>
      <c r="L609" s="1"/>
      <c r="M609" s="2"/>
      <c r="T609" s="3"/>
    </row>
    <row r="610" ht="14.25" customHeight="1">
      <c r="K610" s="1"/>
      <c r="L610" s="1"/>
      <c r="M610" s="2"/>
      <c r="T610" s="3"/>
    </row>
    <row r="611" ht="14.25" customHeight="1">
      <c r="K611" s="1"/>
      <c r="L611" s="1"/>
      <c r="M611" s="2"/>
      <c r="T611" s="3"/>
    </row>
    <row r="612" ht="14.25" customHeight="1">
      <c r="K612" s="1"/>
      <c r="L612" s="1"/>
      <c r="M612" s="2"/>
      <c r="T612" s="3"/>
    </row>
    <row r="613" ht="14.25" customHeight="1">
      <c r="K613" s="1"/>
      <c r="L613" s="1"/>
      <c r="M613" s="2"/>
      <c r="T613" s="3"/>
    </row>
    <row r="614" ht="14.25" customHeight="1">
      <c r="K614" s="1"/>
      <c r="L614" s="1"/>
      <c r="M614" s="2"/>
      <c r="T614" s="3"/>
    </row>
    <row r="615" ht="14.25" customHeight="1">
      <c r="K615" s="1"/>
      <c r="L615" s="1"/>
      <c r="M615" s="2"/>
      <c r="T615" s="3"/>
    </row>
    <row r="616" ht="14.25" customHeight="1">
      <c r="K616" s="1"/>
      <c r="L616" s="1"/>
      <c r="M616" s="2"/>
      <c r="T616" s="3"/>
    </row>
    <row r="617" ht="14.25" customHeight="1">
      <c r="K617" s="1"/>
      <c r="L617" s="1"/>
      <c r="M617" s="2"/>
      <c r="T617" s="3"/>
    </row>
    <row r="618" ht="14.25" customHeight="1">
      <c r="K618" s="1"/>
      <c r="L618" s="1"/>
      <c r="M618" s="2"/>
      <c r="T618" s="3"/>
    </row>
    <row r="619" ht="14.25" customHeight="1">
      <c r="K619" s="1"/>
      <c r="L619" s="1"/>
      <c r="M619" s="2"/>
      <c r="T619" s="3"/>
    </row>
    <row r="620" ht="14.25" customHeight="1">
      <c r="K620" s="1"/>
      <c r="L620" s="1"/>
      <c r="M620" s="2"/>
      <c r="T620" s="3"/>
    </row>
    <row r="621" ht="14.25" customHeight="1">
      <c r="K621" s="1"/>
      <c r="L621" s="1"/>
      <c r="M621" s="2"/>
      <c r="T621" s="3"/>
    </row>
    <row r="622" ht="14.25" customHeight="1">
      <c r="K622" s="1"/>
      <c r="L622" s="1"/>
      <c r="M622" s="2"/>
      <c r="T622" s="3"/>
    </row>
    <row r="623" ht="14.25" customHeight="1">
      <c r="K623" s="1"/>
      <c r="L623" s="1"/>
      <c r="M623" s="2"/>
      <c r="T623" s="3"/>
    </row>
    <row r="624" ht="14.25" customHeight="1">
      <c r="K624" s="1"/>
      <c r="L624" s="1"/>
      <c r="M624" s="2"/>
      <c r="T624" s="3"/>
    </row>
    <row r="625" ht="14.25" customHeight="1">
      <c r="K625" s="1"/>
      <c r="L625" s="1"/>
      <c r="M625" s="2"/>
      <c r="T625" s="3"/>
    </row>
    <row r="626" ht="14.25" customHeight="1">
      <c r="K626" s="1"/>
      <c r="L626" s="1"/>
      <c r="M626" s="2"/>
      <c r="T626" s="3"/>
    </row>
    <row r="627" ht="14.25" customHeight="1">
      <c r="K627" s="1"/>
      <c r="L627" s="1"/>
      <c r="M627" s="2"/>
      <c r="T627" s="3"/>
    </row>
    <row r="628" ht="14.25" customHeight="1">
      <c r="K628" s="1"/>
      <c r="L628" s="1"/>
      <c r="M628" s="2"/>
      <c r="T628" s="3"/>
    </row>
    <row r="629" ht="14.25" customHeight="1">
      <c r="K629" s="1"/>
      <c r="L629" s="1"/>
      <c r="M629" s="2"/>
      <c r="T629" s="3"/>
    </row>
    <row r="630" ht="14.25" customHeight="1">
      <c r="K630" s="1"/>
      <c r="L630" s="1"/>
      <c r="M630" s="2"/>
      <c r="T630" s="3"/>
    </row>
    <row r="631" ht="14.25" customHeight="1">
      <c r="K631" s="1"/>
      <c r="L631" s="1"/>
      <c r="M631" s="2"/>
      <c r="T631" s="3"/>
    </row>
    <row r="632" ht="14.25" customHeight="1">
      <c r="K632" s="1"/>
      <c r="L632" s="1"/>
      <c r="M632" s="2"/>
      <c r="T632" s="3"/>
    </row>
    <row r="633" ht="14.25" customHeight="1">
      <c r="K633" s="1"/>
      <c r="L633" s="1"/>
      <c r="M633" s="2"/>
      <c r="T633" s="3"/>
    </row>
    <row r="634" ht="14.25" customHeight="1">
      <c r="K634" s="1"/>
      <c r="L634" s="1"/>
      <c r="M634" s="2"/>
      <c r="T634" s="3"/>
    </row>
    <row r="635" ht="14.25" customHeight="1">
      <c r="K635" s="1"/>
      <c r="L635" s="1"/>
      <c r="M635" s="2"/>
      <c r="T635" s="3"/>
    </row>
    <row r="636" ht="14.25" customHeight="1">
      <c r="K636" s="1"/>
      <c r="L636" s="1"/>
      <c r="M636" s="2"/>
      <c r="T636" s="3"/>
    </row>
    <row r="637" ht="14.25" customHeight="1">
      <c r="K637" s="1"/>
      <c r="L637" s="1"/>
      <c r="M637" s="2"/>
      <c r="T637" s="3"/>
    </row>
    <row r="638" ht="14.25" customHeight="1">
      <c r="K638" s="1"/>
      <c r="L638" s="1"/>
      <c r="M638" s="2"/>
      <c r="T638" s="3"/>
    </row>
    <row r="639" ht="14.25" customHeight="1">
      <c r="K639" s="1"/>
      <c r="L639" s="1"/>
      <c r="M639" s="2"/>
      <c r="T639" s="3"/>
    </row>
    <row r="640" ht="14.25" customHeight="1">
      <c r="K640" s="1"/>
      <c r="L640" s="1"/>
      <c r="M640" s="2"/>
      <c r="T640" s="3"/>
    </row>
    <row r="641" ht="14.25" customHeight="1">
      <c r="K641" s="1"/>
      <c r="L641" s="1"/>
      <c r="M641" s="2"/>
      <c r="T641" s="3"/>
    </row>
    <row r="642" ht="14.25" customHeight="1">
      <c r="K642" s="1"/>
      <c r="L642" s="1"/>
      <c r="M642" s="2"/>
      <c r="T642" s="3"/>
    </row>
    <row r="643" ht="14.25" customHeight="1">
      <c r="K643" s="1"/>
      <c r="L643" s="1"/>
      <c r="M643" s="2"/>
      <c r="T643" s="3"/>
    </row>
    <row r="644" ht="14.25" customHeight="1">
      <c r="K644" s="1"/>
      <c r="L644" s="1"/>
      <c r="M644" s="2"/>
      <c r="T644" s="3"/>
    </row>
    <row r="645" ht="14.25" customHeight="1">
      <c r="K645" s="1"/>
      <c r="L645" s="1"/>
      <c r="M645" s="2"/>
      <c r="T645" s="3"/>
    </row>
    <row r="646" ht="14.25" customHeight="1">
      <c r="K646" s="1"/>
      <c r="L646" s="1"/>
      <c r="M646" s="2"/>
      <c r="T646" s="3"/>
    </row>
    <row r="647" ht="14.25" customHeight="1">
      <c r="K647" s="1"/>
      <c r="L647" s="1"/>
      <c r="M647" s="2"/>
      <c r="T647" s="3"/>
    </row>
    <row r="648" ht="14.25" customHeight="1">
      <c r="K648" s="1"/>
      <c r="L648" s="1"/>
      <c r="M648" s="2"/>
      <c r="T648" s="3"/>
    </row>
    <row r="649" ht="14.25" customHeight="1">
      <c r="K649" s="1"/>
      <c r="L649" s="1"/>
      <c r="M649" s="2"/>
      <c r="T649" s="3"/>
    </row>
    <row r="650" ht="14.25" customHeight="1">
      <c r="K650" s="1"/>
      <c r="L650" s="1"/>
      <c r="M650" s="2"/>
      <c r="T650" s="3"/>
    </row>
    <row r="651" ht="14.25" customHeight="1">
      <c r="K651" s="1"/>
      <c r="L651" s="1"/>
      <c r="M651" s="2"/>
      <c r="T651" s="3"/>
    </row>
    <row r="652" ht="14.25" customHeight="1">
      <c r="K652" s="1"/>
      <c r="L652" s="1"/>
      <c r="M652" s="2"/>
      <c r="T652" s="3"/>
    </row>
    <row r="653" ht="14.25" customHeight="1">
      <c r="K653" s="1"/>
      <c r="L653" s="1"/>
      <c r="M653" s="2"/>
      <c r="T653" s="3"/>
    </row>
    <row r="654" ht="14.25" customHeight="1">
      <c r="K654" s="1"/>
      <c r="L654" s="1"/>
      <c r="M654" s="2"/>
      <c r="T654" s="3"/>
    </row>
    <row r="655" ht="14.25" customHeight="1">
      <c r="K655" s="1"/>
      <c r="L655" s="1"/>
      <c r="M655" s="2"/>
      <c r="T655" s="3"/>
    </row>
    <row r="656" ht="14.25" customHeight="1">
      <c r="K656" s="1"/>
      <c r="L656" s="1"/>
      <c r="M656" s="2"/>
      <c r="T656" s="3"/>
    </row>
    <row r="657" ht="14.25" customHeight="1">
      <c r="K657" s="1"/>
      <c r="L657" s="1"/>
      <c r="M657" s="2"/>
      <c r="T657" s="3"/>
    </row>
    <row r="658" ht="14.25" customHeight="1">
      <c r="K658" s="1"/>
      <c r="L658" s="1"/>
      <c r="M658" s="2"/>
      <c r="T658" s="3"/>
    </row>
    <row r="659" ht="14.25" customHeight="1">
      <c r="K659" s="1"/>
      <c r="L659" s="1"/>
      <c r="M659" s="2"/>
      <c r="T659" s="3"/>
    </row>
    <row r="660" ht="14.25" customHeight="1">
      <c r="K660" s="1"/>
      <c r="L660" s="1"/>
      <c r="M660" s="2"/>
      <c r="T660" s="3"/>
    </row>
    <row r="661" ht="14.25" customHeight="1">
      <c r="K661" s="1"/>
      <c r="L661" s="1"/>
      <c r="M661" s="2"/>
      <c r="T661" s="3"/>
    </row>
    <row r="662" ht="14.25" customHeight="1">
      <c r="K662" s="1"/>
      <c r="L662" s="1"/>
      <c r="M662" s="2"/>
      <c r="T662" s="3"/>
    </row>
    <row r="663" ht="14.25" customHeight="1">
      <c r="K663" s="1"/>
      <c r="L663" s="1"/>
      <c r="M663" s="2"/>
      <c r="T663" s="3"/>
    </row>
    <row r="664" ht="14.25" customHeight="1">
      <c r="K664" s="1"/>
      <c r="L664" s="1"/>
      <c r="M664" s="2"/>
      <c r="T664" s="3"/>
    </row>
    <row r="665" ht="14.25" customHeight="1">
      <c r="K665" s="1"/>
      <c r="L665" s="1"/>
      <c r="M665" s="2"/>
      <c r="T665" s="3"/>
    </row>
    <row r="666" ht="14.25" customHeight="1">
      <c r="K666" s="1"/>
      <c r="L666" s="1"/>
      <c r="M666" s="2"/>
      <c r="T666" s="3"/>
    </row>
    <row r="667" ht="14.25" customHeight="1">
      <c r="K667" s="1"/>
      <c r="L667" s="1"/>
      <c r="M667" s="2"/>
      <c r="T667" s="3"/>
    </row>
    <row r="668" ht="14.25" customHeight="1">
      <c r="K668" s="1"/>
      <c r="L668" s="1"/>
      <c r="M668" s="2"/>
      <c r="T668" s="3"/>
    </row>
    <row r="669" ht="14.25" customHeight="1">
      <c r="K669" s="1"/>
      <c r="L669" s="1"/>
      <c r="M669" s="2"/>
      <c r="T669" s="3"/>
    </row>
    <row r="670" ht="14.25" customHeight="1">
      <c r="K670" s="1"/>
      <c r="L670" s="1"/>
      <c r="M670" s="2"/>
      <c r="T670" s="3"/>
    </row>
    <row r="671" ht="14.25" customHeight="1">
      <c r="K671" s="1"/>
      <c r="L671" s="1"/>
      <c r="M671" s="2"/>
      <c r="T671" s="3"/>
    </row>
    <row r="672" ht="14.25" customHeight="1">
      <c r="K672" s="1"/>
      <c r="L672" s="1"/>
      <c r="M672" s="2"/>
      <c r="T672" s="3"/>
    </row>
    <row r="673" ht="14.25" customHeight="1">
      <c r="K673" s="1"/>
      <c r="L673" s="1"/>
      <c r="M673" s="2"/>
      <c r="T673" s="3"/>
    </row>
    <row r="674" ht="14.25" customHeight="1">
      <c r="K674" s="1"/>
      <c r="L674" s="1"/>
      <c r="M674" s="2"/>
      <c r="T674" s="3"/>
    </row>
    <row r="675" ht="14.25" customHeight="1">
      <c r="K675" s="1"/>
      <c r="L675" s="1"/>
      <c r="M675" s="2"/>
      <c r="T675" s="3"/>
    </row>
    <row r="676" ht="14.25" customHeight="1">
      <c r="K676" s="1"/>
      <c r="L676" s="1"/>
      <c r="M676" s="2"/>
      <c r="T676" s="3"/>
    </row>
    <row r="677" ht="14.25" customHeight="1">
      <c r="K677" s="1"/>
      <c r="L677" s="1"/>
      <c r="M677" s="2"/>
      <c r="T677" s="3"/>
    </row>
    <row r="678" ht="14.25" customHeight="1">
      <c r="K678" s="1"/>
      <c r="L678" s="1"/>
      <c r="M678" s="2"/>
      <c r="T678" s="3"/>
    </row>
    <row r="679" ht="14.25" customHeight="1">
      <c r="K679" s="1"/>
      <c r="L679" s="1"/>
      <c r="M679" s="2"/>
      <c r="T679" s="3"/>
    </row>
    <row r="680" ht="14.25" customHeight="1">
      <c r="K680" s="1"/>
      <c r="L680" s="1"/>
      <c r="M680" s="2"/>
      <c r="T680" s="3"/>
    </row>
    <row r="681" ht="14.25" customHeight="1">
      <c r="K681" s="1"/>
      <c r="L681" s="1"/>
      <c r="M681" s="2"/>
      <c r="T681" s="3"/>
    </row>
    <row r="682" ht="14.25" customHeight="1">
      <c r="K682" s="1"/>
      <c r="L682" s="1"/>
      <c r="M682" s="2"/>
      <c r="T682" s="3"/>
    </row>
    <row r="683" ht="14.25" customHeight="1">
      <c r="K683" s="1"/>
      <c r="L683" s="1"/>
      <c r="M683" s="2"/>
      <c r="T683" s="3"/>
    </row>
    <row r="684" ht="14.25" customHeight="1">
      <c r="K684" s="1"/>
      <c r="L684" s="1"/>
      <c r="M684" s="2"/>
      <c r="T684" s="3"/>
    </row>
    <row r="685" ht="14.25" customHeight="1">
      <c r="K685" s="1"/>
      <c r="L685" s="1"/>
      <c r="M685" s="2"/>
      <c r="T685" s="3"/>
    </row>
    <row r="686" ht="14.25" customHeight="1">
      <c r="K686" s="1"/>
      <c r="L686" s="1"/>
      <c r="M686" s="2"/>
      <c r="T686" s="3"/>
    </row>
    <row r="687" ht="14.25" customHeight="1">
      <c r="K687" s="1"/>
      <c r="L687" s="1"/>
      <c r="M687" s="2"/>
      <c r="T687" s="3"/>
    </row>
    <row r="688" ht="14.25" customHeight="1">
      <c r="K688" s="1"/>
      <c r="L688" s="1"/>
      <c r="M688" s="2"/>
      <c r="T688" s="3"/>
    </row>
    <row r="689" ht="14.25" customHeight="1">
      <c r="K689" s="1"/>
      <c r="L689" s="1"/>
      <c r="M689" s="2"/>
      <c r="T689" s="3"/>
    </row>
    <row r="690" ht="14.25" customHeight="1">
      <c r="K690" s="1"/>
      <c r="L690" s="1"/>
      <c r="M690" s="2"/>
      <c r="T690" s="3"/>
    </row>
    <row r="691" ht="14.25" customHeight="1">
      <c r="K691" s="1"/>
      <c r="L691" s="1"/>
      <c r="M691" s="2"/>
      <c r="T691" s="3"/>
    </row>
    <row r="692" ht="14.25" customHeight="1">
      <c r="K692" s="1"/>
      <c r="L692" s="1"/>
      <c r="M692" s="2"/>
      <c r="T692" s="3"/>
    </row>
    <row r="693" ht="14.25" customHeight="1">
      <c r="K693" s="1"/>
      <c r="L693" s="1"/>
      <c r="M693" s="2"/>
      <c r="T693" s="3"/>
    </row>
    <row r="694" ht="14.25" customHeight="1">
      <c r="K694" s="1"/>
      <c r="L694" s="1"/>
      <c r="M694" s="2"/>
      <c r="T694" s="3"/>
    </row>
    <row r="695" ht="14.25" customHeight="1">
      <c r="K695" s="1"/>
      <c r="L695" s="1"/>
      <c r="M695" s="2"/>
      <c r="T695" s="3"/>
    </row>
    <row r="696" ht="14.25" customHeight="1">
      <c r="K696" s="1"/>
      <c r="L696" s="1"/>
      <c r="M696" s="2"/>
      <c r="T696" s="3"/>
    </row>
    <row r="697" ht="14.25" customHeight="1">
      <c r="K697" s="1"/>
      <c r="L697" s="1"/>
      <c r="M697" s="2"/>
      <c r="T697" s="3"/>
    </row>
    <row r="698" ht="14.25" customHeight="1">
      <c r="K698" s="1"/>
      <c r="L698" s="1"/>
      <c r="M698" s="2"/>
      <c r="T698" s="3"/>
    </row>
    <row r="699" ht="14.25" customHeight="1">
      <c r="K699" s="1"/>
      <c r="L699" s="1"/>
      <c r="M699" s="2"/>
      <c r="T699" s="3"/>
    </row>
    <row r="700" ht="14.25" customHeight="1">
      <c r="K700" s="1"/>
      <c r="L700" s="1"/>
      <c r="M700" s="2"/>
      <c r="T700" s="3"/>
    </row>
    <row r="701" ht="14.25" customHeight="1">
      <c r="K701" s="1"/>
      <c r="L701" s="1"/>
      <c r="M701" s="2"/>
      <c r="T701" s="3"/>
    </row>
    <row r="702" ht="14.25" customHeight="1">
      <c r="K702" s="1"/>
      <c r="L702" s="1"/>
      <c r="M702" s="2"/>
      <c r="T702" s="3"/>
    </row>
    <row r="703" ht="14.25" customHeight="1">
      <c r="K703" s="1"/>
      <c r="L703" s="1"/>
      <c r="M703" s="2"/>
      <c r="T703" s="3"/>
    </row>
    <row r="704" ht="14.25" customHeight="1">
      <c r="K704" s="1"/>
      <c r="L704" s="1"/>
      <c r="M704" s="2"/>
      <c r="T704" s="3"/>
    </row>
    <row r="705" ht="14.25" customHeight="1">
      <c r="K705" s="1"/>
      <c r="L705" s="1"/>
      <c r="M705" s="2"/>
      <c r="T705" s="3"/>
    </row>
    <row r="706" ht="14.25" customHeight="1">
      <c r="K706" s="1"/>
      <c r="L706" s="1"/>
      <c r="M706" s="2"/>
      <c r="T706" s="3"/>
    </row>
    <row r="707" ht="14.25" customHeight="1">
      <c r="K707" s="1"/>
      <c r="L707" s="1"/>
      <c r="M707" s="2"/>
      <c r="T707" s="3"/>
    </row>
    <row r="708" ht="14.25" customHeight="1">
      <c r="K708" s="1"/>
      <c r="L708" s="1"/>
      <c r="M708" s="2"/>
      <c r="T708" s="3"/>
    </row>
    <row r="709" ht="14.25" customHeight="1">
      <c r="K709" s="1"/>
      <c r="L709" s="1"/>
      <c r="M709" s="2"/>
      <c r="T709" s="3"/>
    </row>
    <row r="710" ht="14.25" customHeight="1">
      <c r="K710" s="1"/>
      <c r="L710" s="1"/>
      <c r="M710" s="2"/>
      <c r="T710" s="3"/>
    </row>
    <row r="711" ht="14.25" customHeight="1">
      <c r="K711" s="1"/>
      <c r="L711" s="1"/>
      <c r="M711" s="2"/>
      <c r="T711" s="3"/>
    </row>
    <row r="712" ht="14.25" customHeight="1">
      <c r="K712" s="1"/>
      <c r="L712" s="1"/>
      <c r="M712" s="2"/>
      <c r="T712" s="3"/>
    </row>
    <row r="713" ht="14.25" customHeight="1">
      <c r="K713" s="1"/>
      <c r="L713" s="1"/>
      <c r="M713" s="2"/>
      <c r="T713" s="3"/>
    </row>
    <row r="714" ht="14.25" customHeight="1">
      <c r="K714" s="1"/>
      <c r="L714" s="1"/>
      <c r="M714" s="2"/>
      <c r="T714" s="3"/>
    </row>
    <row r="715" ht="14.25" customHeight="1">
      <c r="K715" s="1"/>
      <c r="L715" s="1"/>
      <c r="M715" s="2"/>
      <c r="T715" s="3"/>
    </row>
    <row r="716" ht="14.25" customHeight="1">
      <c r="K716" s="1"/>
      <c r="L716" s="1"/>
      <c r="M716" s="2"/>
      <c r="T716" s="3"/>
    </row>
    <row r="717" ht="14.25" customHeight="1">
      <c r="K717" s="1"/>
      <c r="L717" s="1"/>
      <c r="M717" s="2"/>
      <c r="T717" s="3"/>
    </row>
    <row r="718" ht="14.25" customHeight="1">
      <c r="K718" s="1"/>
      <c r="L718" s="1"/>
      <c r="M718" s="2"/>
      <c r="T718" s="3"/>
    </row>
    <row r="719" ht="14.25" customHeight="1">
      <c r="K719" s="1"/>
      <c r="L719" s="1"/>
      <c r="M719" s="2"/>
      <c r="T719" s="3"/>
    </row>
    <row r="720" ht="14.25" customHeight="1">
      <c r="K720" s="1"/>
      <c r="L720" s="1"/>
      <c r="M720" s="2"/>
      <c r="T720" s="3"/>
    </row>
    <row r="721" ht="14.25" customHeight="1">
      <c r="K721" s="1"/>
      <c r="L721" s="1"/>
      <c r="M721" s="2"/>
      <c r="T721" s="3"/>
    </row>
    <row r="722" ht="14.25" customHeight="1">
      <c r="K722" s="1"/>
      <c r="L722" s="1"/>
      <c r="M722" s="2"/>
      <c r="T722" s="3"/>
    </row>
    <row r="723" ht="14.25" customHeight="1">
      <c r="K723" s="1"/>
      <c r="L723" s="1"/>
      <c r="M723" s="2"/>
      <c r="T723" s="3"/>
    </row>
    <row r="724" ht="14.25" customHeight="1">
      <c r="K724" s="1"/>
      <c r="L724" s="1"/>
      <c r="M724" s="2"/>
      <c r="T724" s="3"/>
    </row>
    <row r="725" ht="14.25" customHeight="1">
      <c r="K725" s="1"/>
      <c r="L725" s="1"/>
      <c r="M725" s="2"/>
      <c r="T725" s="3"/>
    </row>
    <row r="726" ht="14.25" customHeight="1">
      <c r="K726" s="1"/>
      <c r="L726" s="1"/>
      <c r="M726" s="2"/>
      <c r="T726" s="3"/>
    </row>
    <row r="727" ht="14.25" customHeight="1">
      <c r="K727" s="1"/>
      <c r="L727" s="1"/>
      <c r="M727" s="2"/>
      <c r="T727" s="3"/>
    </row>
    <row r="728" ht="14.25" customHeight="1">
      <c r="K728" s="1"/>
      <c r="L728" s="1"/>
      <c r="M728" s="2"/>
      <c r="T728" s="3"/>
    </row>
    <row r="729" ht="14.25" customHeight="1">
      <c r="K729" s="1"/>
      <c r="L729" s="1"/>
      <c r="M729" s="2"/>
      <c r="T729" s="3"/>
    </row>
    <row r="730" ht="14.25" customHeight="1">
      <c r="K730" s="1"/>
      <c r="L730" s="1"/>
      <c r="M730" s="2"/>
      <c r="T730" s="3"/>
    </row>
    <row r="731" ht="14.25" customHeight="1">
      <c r="K731" s="1"/>
      <c r="L731" s="1"/>
      <c r="M731" s="2"/>
      <c r="T731" s="3"/>
    </row>
    <row r="732" ht="14.25" customHeight="1">
      <c r="K732" s="1"/>
      <c r="L732" s="1"/>
      <c r="M732" s="2"/>
      <c r="T732" s="3"/>
    </row>
    <row r="733" ht="14.25" customHeight="1">
      <c r="K733" s="1"/>
      <c r="L733" s="1"/>
      <c r="M733" s="2"/>
      <c r="T733" s="3"/>
    </row>
    <row r="734" ht="14.25" customHeight="1">
      <c r="K734" s="1"/>
      <c r="L734" s="1"/>
      <c r="M734" s="2"/>
      <c r="T734" s="3"/>
    </row>
    <row r="735" ht="14.25" customHeight="1">
      <c r="K735" s="1"/>
      <c r="L735" s="1"/>
      <c r="M735" s="2"/>
      <c r="T735" s="3"/>
    </row>
    <row r="736" ht="14.25" customHeight="1">
      <c r="K736" s="1"/>
      <c r="L736" s="1"/>
      <c r="M736" s="2"/>
      <c r="T736" s="3"/>
    </row>
    <row r="737" ht="14.25" customHeight="1">
      <c r="K737" s="1"/>
      <c r="L737" s="1"/>
      <c r="M737" s="2"/>
      <c r="T737" s="3"/>
    </row>
    <row r="738" ht="14.25" customHeight="1">
      <c r="K738" s="1"/>
      <c r="L738" s="1"/>
      <c r="M738" s="2"/>
      <c r="T738" s="3"/>
    </row>
    <row r="739" ht="14.25" customHeight="1">
      <c r="K739" s="1"/>
      <c r="L739" s="1"/>
      <c r="M739" s="2"/>
      <c r="T739" s="3"/>
    </row>
    <row r="740" ht="14.25" customHeight="1">
      <c r="K740" s="1"/>
      <c r="L740" s="1"/>
      <c r="M740" s="2"/>
      <c r="T740" s="3"/>
    </row>
    <row r="741" ht="14.25" customHeight="1">
      <c r="K741" s="1"/>
      <c r="L741" s="1"/>
      <c r="M741" s="2"/>
      <c r="T741" s="3"/>
    </row>
    <row r="742" ht="14.25" customHeight="1">
      <c r="K742" s="1"/>
      <c r="L742" s="1"/>
      <c r="M742" s="2"/>
      <c r="T742" s="3"/>
    </row>
    <row r="743" ht="14.25" customHeight="1">
      <c r="K743" s="1"/>
      <c r="L743" s="1"/>
      <c r="M743" s="2"/>
      <c r="T743" s="3"/>
    </row>
    <row r="744" ht="14.25" customHeight="1">
      <c r="K744" s="1"/>
      <c r="L744" s="1"/>
      <c r="M744" s="2"/>
      <c r="T744" s="3"/>
    </row>
    <row r="745" ht="14.25" customHeight="1">
      <c r="K745" s="1"/>
      <c r="L745" s="1"/>
      <c r="M745" s="2"/>
      <c r="T745" s="3"/>
    </row>
    <row r="746" ht="14.25" customHeight="1">
      <c r="K746" s="1"/>
      <c r="L746" s="1"/>
      <c r="M746" s="2"/>
      <c r="T746" s="3"/>
    </row>
    <row r="747" ht="14.25" customHeight="1">
      <c r="K747" s="1"/>
      <c r="L747" s="1"/>
      <c r="M747" s="2"/>
      <c r="T747" s="3"/>
    </row>
    <row r="748" ht="14.25" customHeight="1">
      <c r="K748" s="1"/>
      <c r="L748" s="1"/>
      <c r="M748" s="2"/>
      <c r="T748" s="3"/>
    </row>
    <row r="749" ht="14.25" customHeight="1">
      <c r="K749" s="1"/>
      <c r="L749" s="1"/>
      <c r="M749" s="2"/>
      <c r="T749" s="3"/>
    </row>
    <row r="750" ht="14.25" customHeight="1">
      <c r="K750" s="1"/>
      <c r="L750" s="1"/>
      <c r="M750" s="2"/>
      <c r="T750" s="3"/>
    </row>
    <row r="751" ht="14.25" customHeight="1">
      <c r="K751" s="1"/>
      <c r="L751" s="1"/>
      <c r="M751" s="2"/>
      <c r="T751" s="3"/>
    </row>
    <row r="752" ht="14.25" customHeight="1">
      <c r="K752" s="1"/>
      <c r="L752" s="1"/>
      <c r="M752" s="2"/>
      <c r="T752" s="3"/>
    </row>
    <row r="753" ht="14.25" customHeight="1">
      <c r="K753" s="1"/>
      <c r="L753" s="1"/>
      <c r="M753" s="2"/>
      <c r="T753" s="3"/>
    </row>
    <row r="754" ht="14.25" customHeight="1">
      <c r="K754" s="1"/>
      <c r="L754" s="1"/>
      <c r="M754" s="2"/>
      <c r="T754" s="3"/>
    </row>
    <row r="755" ht="14.25" customHeight="1">
      <c r="K755" s="1"/>
      <c r="L755" s="1"/>
      <c r="M755" s="2"/>
      <c r="T755" s="3"/>
    </row>
    <row r="756" ht="14.25" customHeight="1">
      <c r="K756" s="1"/>
      <c r="L756" s="1"/>
      <c r="M756" s="2"/>
      <c r="T756" s="3"/>
    </row>
    <row r="757" ht="14.25" customHeight="1">
      <c r="K757" s="1"/>
      <c r="L757" s="1"/>
      <c r="M757" s="2"/>
      <c r="T757" s="3"/>
    </row>
    <row r="758" ht="14.25" customHeight="1">
      <c r="K758" s="1"/>
      <c r="L758" s="1"/>
      <c r="M758" s="2"/>
      <c r="T758" s="3"/>
    </row>
    <row r="759" ht="14.25" customHeight="1">
      <c r="K759" s="1"/>
      <c r="L759" s="1"/>
      <c r="M759" s="2"/>
      <c r="T759" s="3"/>
    </row>
    <row r="760" ht="14.25" customHeight="1">
      <c r="K760" s="1"/>
      <c r="L760" s="1"/>
      <c r="M760" s="2"/>
      <c r="T760" s="3"/>
    </row>
    <row r="761" ht="14.25" customHeight="1">
      <c r="K761" s="1"/>
      <c r="L761" s="1"/>
      <c r="M761" s="2"/>
      <c r="T761" s="3"/>
    </row>
    <row r="762" ht="14.25" customHeight="1">
      <c r="K762" s="1"/>
      <c r="L762" s="1"/>
      <c r="M762" s="2"/>
      <c r="T762" s="3"/>
    </row>
    <row r="763" ht="14.25" customHeight="1">
      <c r="K763" s="1"/>
      <c r="L763" s="1"/>
      <c r="M763" s="2"/>
      <c r="T763" s="3"/>
    </row>
    <row r="764" ht="14.25" customHeight="1">
      <c r="K764" s="1"/>
      <c r="L764" s="1"/>
      <c r="M764" s="2"/>
      <c r="T764" s="3"/>
    </row>
    <row r="765" ht="14.25" customHeight="1">
      <c r="K765" s="1"/>
      <c r="L765" s="1"/>
      <c r="M765" s="2"/>
      <c r="T765" s="3"/>
    </row>
    <row r="766" ht="14.25" customHeight="1">
      <c r="K766" s="1"/>
      <c r="L766" s="1"/>
      <c r="M766" s="2"/>
      <c r="T766" s="3"/>
    </row>
    <row r="767" ht="14.25" customHeight="1">
      <c r="K767" s="1"/>
      <c r="L767" s="1"/>
      <c r="M767" s="2"/>
      <c r="T767" s="3"/>
    </row>
    <row r="768" ht="14.25" customHeight="1">
      <c r="K768" s="1"/>
      <c r="L768" s="1"/>
      <c r="M768" s="2"/>
      <c r="T768" s="3"/>
    </row>
    <row r="769" ht="14.25" customHeight="1">
      <c r="K769" s="1"/>
      <c r="L769" s="1"/>
      <c r="M769" s="2"/>
      <c r="T769" s="3"/>
    </row>
    <row r="770" ht="14.25" customHeight="1">
      <c r="K770" s="1"/>
      <c r="L770" s="1"/>
      <c r="M770" s="2"/>
      <c r="T770" s="3"/>
    </row>
    <row r="771" ht="14.25" customHeight="1">
      <c r="K771" s="1"/>
      <c r="L771" s="1"/>
      <c r="M771" s="2"/>
      <c r="T771" s="3"/>
    </row>
    <row r="772" ht="14.25" customHeight="1">
      <c r="K772" s="1"/>
      <c r="L772" s="1"/>
      <c r="M772" s="2"/>
      <c r="T772" s="3"/>
    </row>
    <row r="773" ht="14.25" customHeight="1">
      <c r="K773" s="1"/>
      <c r="L773" s="1"/>
      <c r="M773" s="2"/>
      <c r="T773" s="3"/>
    </row>
    <row r="774" ht="14.25" customHeight="1">
      <c r="K774" s="1"/>
      <c r="L774" s="1"/>
      <c r="M774" s="2"/>
      <c r="T774" s="3"/>
    </row>
    <row r="775" ht="14.25" customHeight="1">
      <c r="K775" s="1"/>
      <c r="L775" s="1"/>
      <c r="M775" s="2"/>
      <c r="T775" s="3"/>
    </row>
    <row r="776" ht="14.25" customHeight="1">
      <c r="K776" s="1"/>
      <c r="L776" s="1"/>
      <c r="M776" s="2"/>
      <c r="T776" s="3"/>
    </row>
    <row r="777" ht="14.25" customHeight="1">
      <c r="K777" s="1"/>
      <c r="L777" s="1"/>
      <c r="M777" s="2"/>
      <c r="T777" s="3"/>
    </row>
    <row r="778" ht="14.25" customHeight="1">
      <c r="K778" s="1"/>
      <c r="L778" s="1"/>
      <c r="M778" s="2"/>
      <c r="T778" s="3"/>
    </row>
    <row r="779" ht="14.25" customHeight="1">
      <c r="K779" s="1"/>
      <c r="L779" s="1"/>
      <c r="M779" s="2"/>
      <c r="T779" s="3"/>
    </row>
    <row r="780" ht="14.25" customHeight="1">
      <c r="K780" s="1"/>
      <c r="L780" s="1"/>
      <c r="M780" s="2"/>
      <c r="T780" s="3"/>
    </row>
    <row r="781" ht="14.25" customHeight="1">
      <c r="K781" s="1"/>
      <c r="L781" s="1"/>
      <c r="M781" s="2"/>
      <c r="T781" s="3"/>
    </row>
    <row r="782" ht="14.25" customHeight="1">
      <c r="K782" s="1"/>
      <c r="L782" s="1"/>
      <c r="M782" s="2"/>
      <c r="T782" s="3"/>
    </row>
    <row r="783" ht="14.25" customHeight="1">
      <c r="K783" s="1"/>
      <c r="L783" s="1"/>
      <c r="M783" s="2"/>
      <c r="T783" s="3"/>
    </row>
    <row r="784" ht="14.25" customHeight="1">
      <c r="K784" s="1"/>
      <c r="L784" s="1"/>
      <c r="M784" s="2"/>
      <c r="T784" s="3"/>
    </row>
    <row r="785" ht="14.25" customHeight="1">
      <c r="K785" s="1"/>
      <c r="L785" s="1"/>
      <c r="M785" s="2"/>
      <c r="T785" s="3"/>
    </row>
    <row r="786" ht="14.25" customHeight="1">
      <c r="K786" s="1"/>
      <c r="L786" s="1"/>
      <c r="M786" s="2"/>
      <c r="T786" s="3"/>
    </row>
    <row r="787" ht="14.25" customHeight="1">
      <c r="K787" s="1"/>
      <c r="L787" s="1"/>
      <c r="M787" s="2"/>
      <c r="T787" s="3"/>
    </row>
    <row r="788" ht="14.25" customHeight="1">
      <c r="K788" s="1"/>
      <c r="L788" s="1"/>
      <c r="M788" s="2"/>
      <c r="T788" s="3"/>
    </row>
    <row r="789" ht="14.25" customHeight="1">
      <c r="K789" s="1"/>
      <c r="L789" s="1"/>
      <c r="M789" s="2"/>
      <c r="T789" s="3"/>
    </row>
    <row r="790" ht="14.25" customHeight="1">
      <c r="K790" s="1"/>
      <c r="L790" s="1"/>
      <c r="M790" s="2"/>
      <c r="T790" s="3"/>
    </row>
    <row r="791" ht="14.25" customHeight="1">
      <c r="K791" s="1"/>
      <c r="L791" s="1"/>
      <c r="M791" s="2"/>
      <c r="T791" s="3"/>
    </row>
    <row r="792" ht="14.25" customHeight="1">
      <c r="K792" s="1"/>
      <c r="L792" s="1"/>
      <c r="M792" s="2"/>
      <c r="T792" s="3"/>
    </row>
    <row r="793" ht="14.25" customHeight="1">
      <c r="K793" s="1"/>
      <c r="L793" s="1"/>
      <c r="M793" s="2"/>
      <c r="T793" s="3"/>
    </row>
    <row r="794" ht="14.25" customHeight="1">
      <c r="K794" s="1"/>
      <c r="L794" s="1"/>
      <c r="M794" s="2"/>
      <c r="T794" s="3"/>
    </row>
    <row r="795" ht="14.25" customHeight="1">
      <c r="K795" s="1"/>
      <c r="L795" s="1"/>
      <c r="M795" s="2"/>
      <c r="T795" s="3"/>
    </row>
    <row r="796" ht="14.25" customHeight="1">
      <c r="K796" s="1"/>
      <c r="L796" s="1"/>
      <c r="M796" s="2"/>
      <c r="T796" s="3"/>
    </row>
    <row r="797" ht="14.25" customHeight="1">
      <c r="K797" s="1"/>
      <c r="L797" s="1"/>
      <c r="M797" s="2"/>
      <c r="T797" s="3"/>
    </row>
    <row r="798" ht="14.25" customHeight="1">
      <c r="K798" s="1"/>
      <c r="L798" s="1"/>
      <c r="M798" s="2"/>
      <c r="T798" s="3"/>
    </row>
    <row r="799" ht="14.25" customHeight="1">
      <c r="K799" s="1"/>
      <c r="L799" s="1"/>
      <c r="M799" s="2"/>
      <c r="T799" s="3"/>
    </row>
    <row r="800" ht="14.25" customHeight="1">
      <c r="K800" s="1"/>
      <c r="L800" s="1"/>
      <c r="M800" s="2"/>
      <c r="T800" s="3"/>
    </row>
    <row r="801" ht="14.25" customHeight="1">
      <c r="K801" s="1"/>
      <c r="L801" s="1"/>
      <c r="M801" s="2"/>
      <c r="T801" s="3"/>
    </row>
    <row r="802" ht="14.25" customHeight="1">
      <c r="K802" s="1"/>
      <c r="L802" s="1"/>
      <c r="M802" s="2"/>
      <c r="T802" s="3"/>
    </row>
    <row r="803" ht="14.25" customHeight="1">
      <c r="K803" s="1"/>
      <c r="L803" s="1"/>
      <c r="M803" s="2"/>
      <c r="T803" s="3"/>
    </row>
    <row r="804" ht="14.25" customHeight="1">
      <c r="K804" s="1"/>
      <c r="L804" s="1"/>
      <c r="M804" s="2"/>
      <c r="T804" s="3"/>
    </row>
    <row r="805" ht="14.25" customHeight="1">
      <c r="K805" s="1"/>
      <c r="L805" s="1"/>
      <c r="M805" s="2"/>
      <c r="T805" s="3"/>
    </row>
    <row r="806" ht="14.25" customHeight="1">
      <c r="K806" s="1"/>
      <c r="L806" s="1"/>
      <c r="M806" s="2"/>
      <c r="T806" s="3"/>
    </row>
    <row r="807" ht="14.25" customHeight="1">
      <c r="K807" s="1"/>
      <c r="L807" s="1"/>
      <c r="M807" s="2"/>
      <c r="T807" s="3"/>
    </row>
    <row r="808" ht="14.25" customHeight="1">
      <c r="K808" s="1"/>
      <c r="L808" s="1"/>
      <c r="M808" s="2"/>
      <c r="T808" s="3"/>
    </row>
    <row r="809" ht="14.25" customHeight="1">
      <c r="K809" s="1"/>
      <c r="L809" s="1"/>
      <c r="M809" s="2"/>
      <c r="T809" s="3"/>
    </row>
    <row r="810" ht="14.25" customHeight="1">
      <c r="K810" s="1"/>
      <c r="L810" s="1"/>
      <c r="M810" s="2"/>
      <c r="T810" s="3"/>
    </row>
    <row r="811" ht="14.25" customHeight="1">
      <c r="K811" s="1"/>
      <c r="L811" s="1"/>
      <c r="M811" s="2"/>
      <c r="T811" s="3"/>
    </row>
    <row r="812" ht="14.25" customHeight="1">
      <c r="K812" s="1"/>
      <c r="L812" s="1"/>
      <c r="M812" s="2"/>
      <c r="T812" s="3"/>
    </row>
    <row r="813" ht="14.25" customHeight="1">
      <c r="K813" s="1"/>
      <c r="L813" s="1"/>
      <c r="M813" s="2"/>
      <c r="T813" s="3"/>
    </row>
    <row r="814" ht="14.25" customHeight="1">
      <c r="K814" s="1"/>
      <c r="L814" s="1"/>
      <c r="M814" s="2"/>
      <c r="T814" s="3"/>
    </row>
    <row r="815" ht="14.25" customHeight="1">
      <c r="K815" s="1"/>
      <c r="L815" s="1"/>
      <c r="M815" s="2"/>
      <c r="T815" s="3"/>
    </row>
    <row r="816" ht="14.25" customHeight="1">
      <c r="K816" s="1"/>
      <c r="L816" s="1"/>
      <c r="M816" s="2"/>
      <c r="T816" s="3"/>
    </row>
    <row r="817" ht="14.25" customHeight="1">
      <c r="K817" s="1"/>
      <c r="L817" s="1"/>
      <c r="M817" s="2"/>
      <c r="T817" s="3"/>
    </row>
    <row r="818" ht="14.25" customHeight="1">
      <c r="K818" s="1"/>
      <c r="L818" s="1"/>
      <c r="M818" s="2"/>
      <c r="T818" s="3"/>
    </row>
    <row r="819" ht="14.25" customHeight="1">
      <c r="K819" s="1"/>
      <c r="L819" s="1"/>
      <c r="M819" s="2"/>
      <c r="T819" s="3"/>
    </row>
    <row r="820" ht="14.25" customHeight="1">
      <c r="K820" s="1"/>
      <c r="L820" s="1"/>
      <c r="M820" s="2"/>
      <c r="T820" s="3"/>
    </row>
    <row r="821" ht="14.25" customHeight="1">
      <c r="K821" s="1"/>
      <c r="L821" s="1"/>
      <c r="M821" s="2"/>
      <c r="T821" s="3"/>
    </row>
    <row r="822" ht="14.25" customHeight="1">
      <c r="K822" s="1"/>
      <c r="L822" s="1"/>
      <c r="M822" s="2"/>
      <c r="T822" s="3"/>
    </row>
    <row r="823" ht="14.25" customHeight="1">
      <c r="K823" s="1"/>
      <c r="L823" s="1"/>
      <c r="M823" s="2"/>
      <c r="T823" s="3"/>
    </row>
    <row r="824" ht="14.25" customHeight="1">
      <c r="K824" s="1"/>
      <c r="L824" s="1"/>
      <c r="M824" s="2"/>
      <c r="T824" s="3"/>
    </row>
    <row r="825" ht="14.25" customHeight="1">
      <c r="K825" s="1"/>
      <c r="L825" s="1"/>
      <c r="M825" s="2"/>
      <c r="T825" s="3"/>
    </row>
    <row r="826" ht="14.25" customHeight="1">
      <c r="K826" s="1"/>
      <c r="L826" s="1"/>
      <c r="M826" s="2"/>
      <c r="T826" s="3"/>
    </row>
    <row r="827" ht="14.25" customHeight="1">
      <c r="K827" s="1"/>
      <c r="L827" s="1"/>
      <c r="M827" s="2"/>
      <c r="T827" s="3"/>
    </row>
    <row r="828" ht="14.25" customHeight="1">
      <c r="K828" s="1"/>
      <c r="L828" s="1"/>
      <c r="M828" s="2"/>
      <c r="T828" s="3"/>
    </row>
    <row r="829" ht="14.25" customHeight="1">
      <c r="K829" s="1"/>
      <c r="L829" s="1"/>
      <c r="M829" s="2"/>
      <c r="T829" s="3"/>
    </row>
    <row r="830" ht="14.25" customHeight="1">
      <c r="K830" s="1"/>
      <c r="L830" s="1"/>
      <c r="M830" s="2"/>
      <c r="T830" s="3"/>
    </row>
    <row r="831" ht="14.25" customHeight="1">
      <c r="K831" s="1"/>
      <c r="L831" s="1"/>
      <c r="M831" s="2"/>
      <c r="T831" s="3"/>
    </row>
    <row r="832" ht="14.25" customHeight="1">
      <c r="K832" s="1"/>
      <c r="L832" s="1"/>
      <c r="M832" s="2"/>
      <c r="T832" s="3"/>
    </row>
    <row r="833" ht="14.25" customHeight="1">
      <c r="K833" s="1"/>
      <c r="L833" s="1"/>
      <c r="M833" s="2"/>
      <c r="T833" s="3"/>
    </row>
    <row r="834" ht="14.25" customHeight="1">
      <c r="K834" s="1"/>
      <c r="L834" s="1"/>
      <c r="M834" s="2"/>
      <c r="T834" s="3"/>
    </row>
    <row r="835" ht="14.25" customHeight="1">
      <c r="K835" s="1"/>
      <c r="L835" s="1"/>
      <c r="M835" s="2"/>
      <c r="T835" s="3"/>
    </row>
    <row r="836" ht="14.25" customHeight="1">
      <c r="K836" s="1"/>
      <c r="L836" s="1"/>
      <c r="M836" s="2"/>
      <c r="T836" s="3"/>
    </row>
    <row r="837" ht="14.25" customHeight="1">
      <c r="K837" s="1"/>
      <c r="L837" s="1"/>
      <c r="M837" s="2"/>
      <c r="T837" s="3"/>
    </row>
    <row r="838" ht="14.25" customHeight="1">
      <c r="K838" s="1"/>
      <c r="L838" s="1"/>
      <c r="M838" s="2"/>
      <c r="T838" s="3"/>
    </row>
    <row r="839" ht="14.25" customHeight="1">
      <c r="K839" s="1"/>
      <c r="L839" s="1"/>
      <c r="M839" s="2"/>
      <c r="T839" s="3"/>
    </row>
    <row r="840" ht="14.25" customHeight="1">
      <c r="K840" s="1"/>
      <c r="L840" s="1"/>
      <c r="M840" s="2"/>
      <c r="T840" s="3"/>
    </row>
    <row r="841" ht="14.25" customHeight="1">
      <c r="K841" s="1"/>
      <c r="L841" s="1"/>
      <c r="M841" s="2"/>
      <c r="T841" s="3"/>
    </row>
    <row r="842" ht="14.25" customHeight="1">
      <c r="K842" s="1"/>
      <c r="L842" s="1"/>
      <c r="M842" s="2"/>
      <c r="T842" s="3"/>
    </row>
    <row r="843" ht="14.25" customHeight="1">
      <c r="K843" s="1"/>
      <c r="L843" s="1"/>
      <c r="M843" s="2"/>
      <c r="T843" s="3"/>
    </row>
    <row r="844" ht="14.25" customHeight="1">
      <c r="K844" s="1"/>
      <c r="L844" s="1"/>
      <c r="M844" s="2"/>
      <c r="T844" s="3"/>
    </row>
    <row r="845" ht="14.25" customHeight="1">
      <c r="K845" s="1"/>
      <c r="L845" s="1"/>
      <c r="M845" s="2"/>
      <c r="T845" s="3"/>
    </row>
    <row r="846" ht="14.25" customHeight="1">
      <c r="K846" s="1"/>
      <c r="L846" s="1"/>
      <c r="M846" s="2"/>
      <c r="T846" s="3"/>
    </row>
    <row r="847" ht="14.25" customHeight="1">
      <c r="K847" s="1"/>
      <c r="L847" s="1"/>
      <c r="M847" s="2"/>
      <c r="T847" s="3"/>
    </row>
    <row r="848" ht="14.25" customHeight="1">
      <c r="K848" s="1"/>
      <c r="L848" s="1"/>
      <c r="M848" s="2"/>
      <c r="T848" s="3"/>
    </row>
    <row r="849" ht="14.25" customHeight="1">
      <c r="K849" s="1"/>
      <c r="L849" s="1"/>
      <c r="M849" s="2"/>
      <c r="T849" s="3"/>
    </row>
    <row r="850" ht="14.25" customHeight="1">
      <c r="K850" s="1"/>
      <c r="L850" s="1"/>
      <c r="M850" s="2"/>
      <c r="T850" s="3"/>
    </row>
    <row r="851" ht="14.25" customHeight="1">
      <c r="K851" s="1"/>
      <c r="L851" s="1"/>
      <c r="M851" s="2"/>
      <c r="T851" s="3"/>
    </row>
    <row r="852" ht="14.25" customHeight="1">
      <c r="K852" s="1"/>
      <c r="L852" s="1"/>
      <c r="M852" s="2"/>
      <c r="T852" s="3"/>
    </row>
    <row r="853" ht="14.25" customHeight="1">
      <c r="K853" s="1"/>
      <c r="L853" s="1"/>
      <c r="M853" s="2"/>
      <c r="T853" s="3"/>
    </row>
    <row r="854" ht="14.25" customHeight="1">
      <c r="K854" s="1"/>
      <c r="L854" s="1"/>
      <c r="M854" s="2"/>
      <c r="T854" s="3"/>
    </row>
    <row r="855" ht="14.25" customHeight="1">
      <c r="K855" s="1"/>
      <c r="L855" s="1"/>
      <c r="M855" s="2"/>
      <c r="T855" s="3"/>
    </row>
    <row r="856" ht="14.25" customHeight="1">
      <c r="K856" s="1"/>
      <c r="L856" s="1"/>
      <c r="M856" s="2"/>
      <c r="T856" s="3"/>
    </row>
    <row r="857" ht="14.25" customHeight="1">
      <c r="K857" s="1"/>
      <c r="L857" s="1"/>
      <c r="M857" s="2"/>
      <c r="T857" s="3"/>
    </row>
    <row r="858" ht="14.25" customHeight="1">
      <c r="K858" s="1"/>
      <c r="L858" s="1"/>
      <c r="M858" s="2"/>
      <c r="T858" s="3"/>
    </row>
    <row r="859" ht="14.25" customHeight="1">
      <c r="K859" s="1"/>
      <c r="L859" s="1"/>
      <c r="M859" s="2"/>
      <c r="T859" s="3"/>
    </row>
    <row r="860" ht="14.25" customHeight="1">
      <c r="K860" s="1"/>
      <c r="L860" s="1"/>
      <c r="M860" s="2"/>
      <c r="T860" s="3"/>
    </row>
    <row r="861" ht="14.25" customHeight="1">
      <c r="K861" s="1"/>
      <c r="L861" s="1"/>
      <c r="M861" s="2"/>
      <c r="T861" s="3"/>
    </row>
    <row r="862" ht="14.25" customHeight="1">
      <c r="K862" s="1"/>
      <c r="L862" s="1"/>
      <c r="M862" s="2"/>
      <c r="T862" s="3"/>
    </row>
    <row r="863" ht="14.25" customHeight="1">
      <c r="K863" s="1"/>
      <c r="L863" s="1"/>
      <c r="M863" s="2"/>
      <c r="T863" s="3"/>
    </row>
    <row r="864" ht="14.25" customHeight="1">
      <c r="K864" s="1"/>
      <c r="L864" s="1"/>
      <c r="M864" s="2"/>
      <c r="T864" s="3"/>
    </row>
    <row r="865" ht="14.25" customHeight="1">
      <c r="K865" s="1"/>
      <c r="L865" s="1"/>
      <c r="M865" s="2"/>
      <c r="T865" s="3"/>
    </row>
    <row r="866" ht="14.25" customHeight="1">
      <c r="K866" s="1"/>
      <c r="L866" s="1"/>
      <c r="M866" s="2"/>
      <c r="T866" s="3"/>
    </row>
    <row r="867" ht="14.25" customHeight="1">
      <c r="K867" s="1"/>
      <c r="L867" s="1"/>
      <c r="M867" s="2"/>
      <c r="T867" s="3"/>
    </row>
    <row r="868" ht="14.25" customHeight="1">
      <c r="K868" s="1"/>
      <c r="L868" s="1"/>
      <c r="M868" s="2"/>
      <c r="T868" s="3"/>
    </row>
    <row r="869" ht="14.25" customHeight="1">
      <c r="K869" s="1"/>
      <c r="L869" s="1"/>
      <c r="M869" s="2"/>
      <c r="T869" s="3"/>
    </row>
    <row r="870" ht="14.25" customHeight="1">
      <c r="K870" s="1"/>
      <c r="L870" s="1"/>
      <c r="M870" s="2"/>
      <c r="T870" s="3"/>
    </row>
    <row r="871" ht="14.25" customHeight="1">
      <c r="K871" s="1"/>
      <c r="L871" s="1"/>
      <c r="M871" s="2"/>
      <c r="T871" s="3"/>
    </row>
    <row r="872" ht="14.25" customHeight="1">
      <c r="K872" s="1"/>
      <c r="L872" s="1"/>
      <c r="M872" s="2"/>
      <c r="T872" s="3"/>
    </row>
    <row r="873" ht="14.25" customHeight="1">
      <c r="K873" s="1"/>
      <c r="L873" s="1"/>
      <c r="M873" s="2"/>
      <c r="T873" s="3"/>
    </row>
    <row r="874" ht="14.25" customHeight="1">
      <c r="K874" s="1"/>
      <c r="L874" s="1"/>
      <c r="M874" s="2"/>
      <c r="T874" s="3"/>
    </row>
    <row r="875" ht="14.25" customHeight="1">
      <c r="K875" s="1"/>
      <c r="L875" s="1"/>
      <c r="M875" s="2"/>
      <c r="T875" s="3"/>
    </row>
    <row r="876" ht="14.25" customHeight="1">
      <c r="K876" s="1"/>
      <c r="L876" s="1"/>
      <c r="M876" s="2"/>
      <c r="T876" s="3"/>
    </row>
    <row r="877" ht="14.25" customHeight="1">
      <c r="K877" s="1"/>
      <c r="L877" s="1"/>
      <c r="M877" s="2"/>
      <c r="T877" s="3"/>
    </row>
    <row r="878" ht="14.25" customHeight="1">
      <c r="K878" s="1"/>
      <c r="L878" s="1"/>
      <c r="M878" s="2"/>
      <c r="T878" s="3"/>
    </row>
    <row r="879" ht="14.25" customHeight="1">
      <c r="K879" s="1"/>
      <c r="L879" s="1"/>
      <c r="M879" s="2"/>
      <c r="T879" s="3"/>
    </row>
    <row r="880" ht="14.25" customHeight="1">
      <c r="K880" s="1"/>
      <c r="L880" s="1"/>
      <c r="M880" s="2"/>
      <c r="T880" s="3"/>
    </row>
    <row r="881" ht="14.25" customHeight="1">
      <c r="K881" s="1"/>
      <c r="L881" s="1"/>
      <c r="M881" s="2"/>
      <c r="T881" s="3"/>
    </row>
    <row r="882" ht="14.25" customHeight="1">
      <c r="K882" s="1"/>
      <c r="L882" s="1"/>
      <c r="M882" s="2"/>
      <c r="T882" s="3"/>
    </row>
    <row r="883" ht="14.25" customHeight="1">
      <c r="K883" s="1"/>
      <c r="L883" s="1"/>
      <c r="M883" s="2"/>
      <c r="T883" s="3"/>
    </row>
    <row r="884" ht="14.25" customHeight="1">
      <c r="K884" s="1"/>
      <c r="L884" s="1"/>
      <c r="M884" s="2"/>
      <c r="T884" s="3"/>
    </row>
    <row r="885" ht="14.25" customHeight="1">
      <c r="K885" s="1"/>
      <c r="L885" s="1"/>
      <c r="M885" s="2"/>
      <c r="T885" s="3"/>
    </row>
    <row r="886" ht="14.25" customHeight="1">
      <c r="K886" s="1"/>
      <c r="L886" s="1"/>
      <c r="M886" s="2"/>
      <c r="T886" s="3"/>
    </row>
    <row r="887" ht="14.25" customHeight="1">
      <c r="K887" s="1"/>
      <c r="L887" s="1"/>
      <c r="M887" s="2"/>
      <c r="T887" s="3"/>
    </row>
    <row r="888" ht="14.25" customHeight="1">
      <c r="K888" s="1"/>
      <c r="L888" s="1"/>
      <c r="M888" s="2"/>
      <c r="T888" s="3"/>
    </row>
    <row r="889" ht="14.25" customHeight="1">
      <c r="K889" s="1"/>
      <c r="L889" s="1"/>
      <c r="M889" s="2"/>
      <c r="T889" s="3"/>
    </row>
    <row r="890" ht="14.25" customHeight="1">
      <c r="K890" s="1"/>
      <c r="L890" s="1"/>
      <c r="M890" s="2"/>
      <c r="T890" s="3"/>
    </row>
    <row r="891" ht="14.25" customHeight="1">
      <c r="K891" s="1"/>
      <c r="L891" s="1"/>
      <c r="M891" s="2"/>
      <c r="T891" s="3"/>
    </row>
    <row r="892" ht="14.25" customHeight="1">
      <c r="K892" s="1"/>
      <c r="L892" s="1"/>
      <c r="M892" s="2"/>
      <c r="T892" s="3"/>
    </row>
    <row r="893" ht="14.25" customHeight="1">
      <c r="K893" s="1"/>
      <c r="L893" s="1"/>
      <c r="M893" s="2"/>
      <c r="T893" s="3"/>
    </row>
    <row r="894" ht="14.25" customHeight="1">
      <c r="K894" s="1"/>
      <c r="L894" s="1"/>
      <c r="M894" s="2"/>
      <c r="T894" s="3"/>
    </row>
    <row r="895" ht="14.25" customHeight="1">
      <c r="K895" s="1"/>
      <c r="L895" s="1"/>
      <c r="M895" s="2"/>
      <c r="T895" s="3"/>
    </row>
    <row r="896" ht="14.25" customHeight="1">
      <c r="K896" s="1"/>
      <c r="L896" s="1"/>
      <c r="M896" s="2"/>
      <c r="T896" s="3"/>
    </row>
    <row r="897" ht="14.25" customHeight="1">
      <c r="K897" s="1"/>
      <c r="L897" s="1"/>
      <c r="M897" s="2"/>
      <c r="T897" s="3"/>
    </row>
    <row r="898" ht="14.25" customHeight="1">
      <c r="K898" s="1"/>
      <c r="L898" s="1"/>
      <c r="M898" s="2"/>
      <c r="T898" s="3"/>
    </row>
    <row r="899" ht="14.25" customHeight="1">
      <c r="K899" s="1"/>
      <c r="L899" s="1"/>
      <c r="M899" s="2"/>
      <c r="T899" s="3"/>
    </row>
    <row r="900" ht="14.25" customHeight="1">
      <c r="K900" s="1"/>
      <c r="L900" s="1"/>
      <c r="M900" s="2"/>
      <c r="T900" s="3"/>
    </row>
    <row r="901" ht="14.25" customHeight="1">
      <c r="K901" s="1"/>
      <c r="L901" s="1"/>
      <c r="M901" s="2"/>
      <c r="T901" s="3"/>
    </row>
    <row r="902" ht="14.25" customHeight="1">
      <c r="K902" s="1"/>
      <c r="L902" s="1"/>
      <c r="M902" s="2"/>
      <c r="T902" s="3"/>
    </row>
    <row r="903" ht="14.25" customHeight="1">
      <c r="K903" s="1"/>
      <c r="L903" s="1"/>
      <c r="M903" s="2"/>
      <c r="T903" s="3"/>
    </row>
    <row r="904" ht="14.25" customHeight="1">
      <c r="K904" s="1"/>
      <c r="L904" s="1"/>
      <c r="M904" s="2"/>
      <c r="T904" s="3"/>
    </row>
    <row r="905" ht="14.25" customHeight="1">
      <c r="K905" s="1"/>
      <c r="L905" s="1"/>
      <c r="M905" s="2"/>
      <c r="T905" s="3"/>
    </row>
    <row r="906" ht="14.25" customHeight="1">
      <c r="K906" s="1"/>
      <c r="L906" s="1"/>
      <c r="M906" s="2"/>
      <c r="T906" s="3"/>
    </row>
    <row r="907" ht="14.25" customHeight="1">
      <c r="K907" s="1"/>
      <c r="L907" s="1"/>
      <c r="M907" s="2"/>
      <c r="T907" s="3"/>
    </row>
    <row r="908" ht="14.25" customHeight="1">
      <c r="K908" s="1"/>
      <c r="L908" s="1"/>
      <c r="M908" s="2"/>
      <c r="T908" s="3"/>
    </row>
    <row r="909" ht="14.25" customHeight="1">
      <c r="K909" s="1"/>
      <c r="L909" s="1"/>
      <c r="M909" s="2"/>
      <c r="T909" s="3"/>
    </row>
    <row r="910" ht="14.25" customHeight="1">
      <c r="K910" s="1"/>
      <c r="L910" s="1"/>
      <c r="M910" s="2"/>
      <c r="T910" s="3"/>
    </row>
    <row r="911" ht="14.25" customHeight="1">
      <c r="K911" s="1"/>
      <c r="L911" s="1"/>
      <c r="M911" s="2"/>
      <c r="T911" s="3"/>
    </row>
    <row r="912" ht="14.25" customHeight="1">
      <c r="K912" s="1"/>
      <c r="L912" s="1"/>
      <c r="M912" s="2"/>
      <c r="T912" s="3"/>
    </row>
    <row r="913" ht="14.25" customHeight="1">
      <c r="K913" s="1"/>
      <c r="L913" s="1"/>
      <c r="M913" s="2"/>
      <c r="T913" s="3"/>
    </row>
    <row r="914" ht="14.25" customHeight="1">
      <c r="K914" s="1"/>
      <c r="L914" s="1"/>
      <c r="M914" s="2"/>
      <c r="T914" s="3"/>
    </row>
    <row r="915" ht="14.25" customHeight="1">
      <c r="K915" s="1"/>
      <c r="L915" s="1"/>
      <c r="M915" s="2"/>
      <c r="T915" s="3"/>
    </row>
    <row r="916" ht="14.25" customHeight="1">
      <c r="K916" s="1"/>
      <c r="L916" s="1"/>
      <c r="M916" s="2"/>
      <c r="T916" s="3"/>
    </row>
    <row r="917" ht="14.25" customHeight="1">
      <c r="K917" s="1"/>
      <c r="L917" s="1"/>
      <c r="M917" s="2"/>
      <c r="T917" s="3"/>
    </row>
    <row r="918" ht="14.25" customHeight="1">
      <c r="K918" s="1"/>
      <c r="L918" s="1"/>
      <c r="M918" s="2"/>
      <c r="T918" s="3"/>
    </row>
    <row r="919" ht="14.25" customHeight="1">
      <c r="K919" s="1"/>
      <c r="L919" s="1"/>
      <c r="M919" s="2"/>
      <c r="T919" s="3"/>
    </row>
    <row r="920" ht="14.25" customHeight="1">
      <c r="K920" s="1"/>
      <c r="L920" s="1"/>
      <c r="M920" s="2"/>
      <c r="T920" s="3"/>
    </row>
    <row r="921" ht="14.25" customHeight="1">
      <c r="K921" s="1"/>
      <c r="L921" s="1"/>
      <c r="M921" s="2"/>
      <c r="T921" s="3"/>
    </row>
    <row r="922" ht="14.25" customHeight="1">
      <c r="K922" s="1"/>
      <c r="L922" s="1"/>
      <c r="M922" s="2"/>
      <c r="T922" s="3"/>
    </row>
    <row r="923" ht="14.25" customHeight="1">
      <c r="K923" s="1"/>
      <c r="L923" s="1"/>
      <c r="M923" s="2"/>
      <c r="T923" s="3"/>
    </row>
    <row r="924" ht="14.25" customHeight="1">
      <c r="K924" s="1"/>
      <c r="L924" s="1"/>
      <c r="M924" s="2"/>
      <c r="T924" s="3"/>
    </row>
    <row r="925" ht="14.25" customHeight="1">
      <c r="K925" s="1"/>
      <c r="L925" s="1"/>
      <c r="M925" s="2"/>
      <c r="T925" s="3"/>
    </row>
    <row r="926" ht="14.25" customHeight="1">
      <c r="K926" s="1"/>
      <c r="L926" s="1"/>
      <c r="M926" s="2"/>
      <c r="T926" s="3"/>
    </row>
    <row r="927" ht="14.25" customHeight="1">
      <c r="K927" s="1"/>
      <c r="L927" s="1"/>
      <c r="M927" s="2"/>
      <c r="T927" s="3"/>
    </row>
    <row r="928" ht="14.25" customHeight="1">
      <c r="K928" s="1"/>
      <c r="L928" s="1"/>
      <c r="M928" s="2"/>
      <c r="T928" s="3"/>
    </row>
    <row r="929" ht="14.25" customHeight="1">
      <c r="K929" s="1"/>
      <c r="L929" s="1"/>
      <c r="M929" s="2"/>
      <c r="T929" s="3"/>
    </row>
    <row r="930" ht="14.25" customHeight="1">
      <c r="K930" s="1"/>
      <c r="L930" s="1"/>
      <c r="M930" s="2"/>
      <c r="T930" s="3"/>
    </row>
    <row r="931" ht="14.25" customHeight="1">
      <c r="K931" s="1"/>
      <c r="L931" s="1"/>
      <c r="M931" s="2"/>
      <c r="T931" s="3"/>
    </row>
    <row r="932" ht="14.25" customHeight="1">
      <c r="K932" s="1"/>
      <c r="L932" s="1"/>
      <c r="M932" s="2"/>
      <c r="T932" s="3"/>
    </row>
    <row r="933" ht="14.25" customHeight="1">
      <c r="K933" s="1"/>
      <c r="L933" s="1"/>
      <c r="M933" s="2"/>
      <c r="T933" s="3"/>
    </row>
    <row r="934" ht="14.25" customHeight="1">
      <c r="K934" s="1"/>
      <c r="L934" s="1"/>
      <c r="M934" s="2"/>
      <c r="T934" s="3"/>
    </row>
    <row r="935" ht="14.25" customHeight="1">
      <c r="K935" s="1"/>
      <c r="L935" s="1"/>
      <c r="M935" s="2"/>
      <c r="T935" s="3"/>
    </row>
    <row r="936" ht="14.25" customHeight="1">
      <c r="K936" s="1"/>
      <c r="L936" s="1"/>
      <c r="M936" s="2"/>
      <c r="T936" s="3"/>
    </row>
    <row r="937" ht="14.25" customHeight="1">
      <c r="K937" s="1"/>
      <c r="L937" s="1"/>
      <c r="M937" s="2"/>
      <c r="T937" s="3"/>
    </row>
    <row r="938" ht="14.25" customHeight="1">
      <c r="K938" s="1"/>
      <c r="L938" s="1"/>
      <c r="M938" s="2"/>
      <c r="T938" s="3"/>
    </row>
    <row r="939" ht="14.25" customHeight="1">
      <c r="K939" s="1"/>
      <c r="L939" s="1"/>
      <c r="M939" s="2"/>
      <c r="T939" s="3"/>
    </row>
    <row r="940" ht="14.25" customHeight="1">
      <c r="K940" s="1"/>
      <c r="L940" s="1"/>
      <c r="M940" s="2"/>
      <c r="T940" s="3"/>
    </row>
    <row r="941" ht="14.25" customHeight="1">
      <c r="K941" s="1"/>
      <c r="L941" s="1"/>
      <c r="M941" s="2"/>
      <c r="T941" s="3"/>
    </row>
    <row r="942" ht="14.25" customHeight="1">
      <c r="K942" s="1"/>
      <c r="L942" s="1"/>
      <c r="M942" s="2"/>
      <c r="T942" s="3"/>
    </row>
    <row r="943" ht="14.25" customHeight="1">
      <c r="K943" s="1"/>
      <c r="L943" s="1"/>
      <c r="M943" s="2"/>
      <c r="T943" s="3"/>
    </row>
    <row r="944" ht="14.25" customHeight="1">
      <c r="K944" s="1"/>
      <c r="L944" s="1"/>
      <c r="M944" s="2"/>
      <c r="T944" s="3"/>
    </row>
    <row r="945" ht="14.25" customHeight="1">
      <c r="K945" s="1"/>
      <c r="L945" s="1"/>
      <c r="M945" s="2"/>
      <c r="T945" s="3"/>
    </row>
    <row r="946" ht="14.25" customHeight="1">
      <c r="K946" s="1"/>
      <c r="L946" s="1"/>
      <c r="M946" s="2"/>
      <c r="T946" s="3"/>
    </row>
    <row r="947" ht="14.25" customHeight="1">
      <c r="K947" s="1"/>
      <c r="L947" s="1"/>
      <c r="M947" s="2"/>
      <c r="T947" s="3"/>
    </row>
    <row r="948" ht="14.25" customHeight="1">
      <c r="K948" s="1"/>
      <c r="L948" s="1"/>
      <c r="M948" s="2"/>
      <c r="T948" s="3"/>
    </row>
    <row r="949" ht="14.25" customHeight="1">
      <c r="K949" s="1"/>
      <c r="L949" s="1"/>
      <c r="M949" s="2"/>
      <c r="T949" s="3"/>
    </row>
    <row r="950" ht="14.25" customHeight="1">
      <c r="K950" s="1"/>
      <c r="L950" s="1"/>
      <c r="M950" s="2"/>
      <c r="T950" s="3"/>
    </row>
    <row r="951" ht="14.25" customHeight="1">
      <c r="K951" s="1"/>
      <c r="L951" s="1"/>
      <c r="M951" s="2"/>
      <c r="T951" s="3"/>
    </row>
    <row r="952" ht="14.25" customHeight="1">
      <c r="K952" s="1"/>
      <c r="L952" s="1"/>
      <c r="M952" s="2"/>
      <c r="T952" s="3"/>
    </row>
    <row r="953" ht="14.25" customHeight="1">
      <c r="K953" s="1"/>
      <c r="L953" s="1"/>
      <c r="M953" s="2"/>
      <c r="T953" s="3"/>
    </row>
    <row r="954" ht="14.25" customHeight="1">
      <c r="K954" s="1"/>
      <c r="L954" s="1"/>
      <c r="M954" s="2"/>
      <c r="T954" s="3"/>
    </row>
    <row r="955" ht="14.25" customHeight="1">
      <c r="K955" s="1"/>
      <c r="L955" s="1"/>
      <c r="M955" s="2"/>
      <c r="T955" s="3"/>
    </row>
    <row r="956" ht="14.25" customHeight="1">
      <c r="K956" s="1"/>
      <c r="L956" s="1"/>
      <c r="M956" s="2"/>
      <c r="T956" s="3"/>
    </row>
    <row r="957" ht="14.25" customHeight="1">
      <c r="K957" s="1"/>
      <c r="L957" s="1"/>
      <c r="M957" s="2"/>
      <c r="T957" s="3"/>
    </row>
    <row r="958" ht="14.25" customHeight="1">
      <c r="K958" s="1"/>
      <c r="L958" s="1"/>
      <c r="M958" s="2"/>
      <c r="T958" s="3"/>
    </row>
    <row r="959" ht="14.25" customHeight="1">
      <c r="K959" s="1"/>
      <c r="L959" s="1"/>
      <c r="M959" s="2"/>
      <c r="T959" s="3"/>
    </row>
    <row r="960" ht="14.25" customHeight="1">
      <c r="K960" s="1"/>
      <c r="L960" s="1"/>
      <c r="M960" s="2"/>
      <c r="T960" s="3"/>
    </row>
    <row r="961" ht="14.25" customHeight="1">
      <c r="K961" s="1"/>
      <c r="L961" s="1"/>
      <c r="M961" s="2"/>
      <c r="T961" s="3"/>
    </row>
    <row r="962" ht="14.25" customHeight="1">
      <c r="K962" s="1"/>
      <c r="L962" s="1"/>
      <c r="M962" s="2"/>
      <c r="T962" s="3"/>
    </row>
    <row r="963" ht="14.25" customHeight="1">
      <c r="K963" s="1"/>
      <c r="L963" s="1"/>
      <c r="M963" s="2"/>
      <c r="T963" s="3"/>
    </row>
    <row r="964" ht="14.25" customHeight="1">
      <c r="K964" s="1"/>
      <c r="L964" s="1"/>
      <c r="M964" s="2"/>
      <c r="T964" s="3"/>
    </row>
    <row r="965" ht="14.25" customHeight="1">
      <c r="K965" s="1"/>
      <c r="L965" s="1"/>
      <c r="M965" s="2"/>
      <c r="T965" s="3"/>
    </row>
    <row r="966" ht="14.25" customHeight="1">
      <c r="K966" s="1"/>
      <c r="L966" s="1"/>
      <c r="M966" s="2"/>
      <c r="T966" s="3"/>
    </row>
    <row r="967" ht="14.25" customHeight="1">
      <c r="K967" s="1"/>
      <c r="L967" s="1"/>
      <c r="M967" s="2"/>
      <c r="T967" s="3"/>
    </row>
    <row r="968" ht="14.25" customHeight="1">
      <c r="K968" s="1"/>
      <c r="L968" s="1"/>
      <c r="M968" s="2"/>
      <c r="T968" s="3"/>
    </row>
    <row r="969" ht="14.25" customHeight="1">
      <c r="K969" s="1"/>
      <c r="L969" s="1"/>
      <c r="M969" s="2"/>
      <c r="T969" s="3"/>
    </row>
    <row r="970" ht="14.25" customHeight="1">
      <c r="K970" s="1"/>
      <c r="L970" s="1"/>
      <c r="M970" s="2"/>
      <c r="T970" s="3"/>
    </row>
    <row r="971" ht="14.25" customHeight="1">
      <c r="K971" s="1"/>
      <c r="L971" s="1"/>
      <c r="M971" s="2"/>
      <c r="T971" s="3"/>
    </row>
    <row r="972" ht="14.25" customHeight="1">
      <c r="K972" s="1"/>
      <c r="L972" s="1"/>
      <c r="M972" s="2"/>
      <c r="T972" s="3"/>
    </row>
    <row r="973" ht="14.25" customHeight="1">
      <c r="K973" s="1"/>
      <c r="L973" s="1"/>
      <c r="M973" s="2"/>
      <c r="T973" s="3"/>
    </row>
    <row r="974" ht="14.25" customHeight="1">
      <c r="K974" s="1"/>
      <c r="L974" s="1"/>
      <c r="M974" s="2"/>
      <c r="T974" s="3"/>
    </row>
    <row r="975" ht="14.25" customHeight="1">
      <c r="K975" s="1"/>
      <c r="L975" s="1"/>
      <c r="M975" s="2"/>
      <c r="T975" s="3"/>
    </row>
    <row r="976" ht="14.25" customHeight="1">
      <c r="K976" s="1"/>
      <c r="L976" s="1"/>
      <c r="M976" s="2"/>
      <c r="T976" s="3"/>
    </row>
    <row r="977" ht="14.25" customHeight="1">
      <c r="K977" s="1"/>
      <c r="L977" s="1"/>
      <c r="M977" s="2"/>
      <c r="T977" s="3"/>
    </row>
    <row r="978" ht="14.25" customHeight="1">
      <c r="K978" s="1"/>
      <c r="L978" s="1"/>
      <c r="M978" s="2"/>
      <c r="T978" s="3"/>
    </row>
    <row r="979" ht="14.25" customHeight="1">
      <c r="K979" s="1"/>
      <c r="L979" s="1"/>
      <c r="M979" s="2"/>
      <c r="T979" s="3"/>
    </row>
    <row r="980" ht="14.25" customHeight="1">
      <c r="K980" s="1"/>
      <c r="L980" s="1"/>
      <c r="M980" s="2"/>
      <c r="T980" s="3"/>
    </row>
    <row r="981" ht="14.25" customHeight="1">
      <c r="K981" s="1"/>
      <c r="L981" s="1"/>
      <c r="M981" s="2"/>
      <c r="T981" s="3"/>
    </row>
    <row r="982" ht="14.25" customHeight="1">
      <c r="K982" s="1"/>
      <c r="L982" s="1"/>
      <c r="M982" s="2"/>
      <c r="T982" s="3"/>
    </row>
    <row r="983" ht="14.25" customHeight="1">
      <c r="K983" s="1"/>
      <c r="L983" s="1"/>
      <c r="M983" s="2"/>
      <c r="T983" s="3"/>
    </row>
    <row r="984" ht="14.25" customHeight="1">
      <c r="K984" s="1"/>
      <c r="L984" s="1"/>
      <c r="M984" s="2"/>
      <c r="T984" s="3"/>
    </row>
    <row r="985" ht="14.25" customHeight="1">
      <c r="K985" s="1"/>
      <c r="L985" s="1"/>
      <c r="M985" s="2"/>
      <c r="T985" s="3"/>
    </row>
    <row r="986" ht="14.25" customHeight="1">
      <c r="K986" s="1"/>
      <c r="L986" s="1"/>
      <c r="M986" s="2"/>
      <c r="T986" s="3"/>
    </row>
    <row r="987" ht="14.25" customHeight="1">
      <c r="K987" s="1"/>
      <c r="L987" s="1"/>
      <c r="M987" s="2"/>
      <c r="T987" s="3"/>
    </row>
    <row r="988" ht="14.25" customHeight="1">
      <c r="K988" s="1"/>
      <c r="L988" s="1"/>
      <c r="M988" s="2"/>
      <c r="T988" s="3"/>
    </row>
    <row r="989" ht="14.25" customHeight="1">
      <c r="K989" s="1"/>
      <c r="L989" s="1"/>
      <c r="M989" s="2"/>
      <c r="T989" s="3"/>
    </row>
    <row r="990" ht="14.25" customHeight="1">
      <c r="K990" s="1"/>
      <c r="L990" s="1"/>
      <c r="M990" s="2"/>
      <c r="T990" s="3"/>
    </row>
    <row r="991" ht="14.25" customHeight="1">
      <c r="K991" s="1"/>
      <c r="L991" s="1"/>
      <c r="M991" s="2"/>
      <c r="T991" s="3"/>
    </row>
    <row r="992" ht="14.25" customHeight="1">
      <c r="K992" s="1"/>
      <c r="L992" s="1"/>
      <c r="M992" s="2"/>
      <c r="T992" s="3"/>
    </row>
    <row r="993" ht="14.25" customHeight="1">
      <c r="K993" s="1"/>
      <c r="L993" s="1"/>
      <c r="M993" s="2"/>
      <c r="T993" s="3"/>
    </row>
    <row r="994" ht="14.25" customHeight="1">
      <c r="K994" s="1"/>
      <c r="L994" s="1"/>
      <c r="M994" s="2"/>
      <c r="T994" s="3"/>
    </row>
    <row r="995" ht="14.25" customHeight="1">
      <c r="K995" s="1"/>
      <c r="L995" s="1"/>
      <c r="M995" s="2"/>
      <c r="T995" s="3"/>
    </row>
    <row r="996" ht="14.25" customHeight="1">
      <c r="K996" s="1"/>
      <c r="L996" s="1"/>
      <c r="M996" s="2"/>
      <c r="T996" s="3"/>
    </row>
    <row r="997" ht="14.25" customHeight="1">
      <c r="K997" s="1"/>
      <c r="L997" s="1"/>
      <c r="M997" s="2"/>
      <c r="T997" s="3"/>
    </row>
    <row r="998" ht="14.25" customHeight="1">
      <c r="K998" s="1"/>
      <c r="L998" s="1"/>
      <c r="M998" s="2"/>
      <c r="T998" s="3"/>
    </row>
    <row r="999" ht="14.25" customHeight="1">
      <c r="K999" s="1"/>
      <c r="L999" s="1"/>
      <c r="M999" s="2"/>
      <c r="T999" s="3"/>
    </row>
    <row r="1000" ht="14.25" customHeight="1">
      <c r="K1000" s="1"/>
      <c r="L1000" s="1"/>
      <c r="M1000" s="2"/>
      <c r="T1000" s="3"/>
    </row>
    <row r="1001" ht="14.25" customHeight="1">
      <c r="K1001" s="1"/>
      <c r="L1001" s="1"/>
      <c r="M1001" s="2"/>
      <c r="T1001" s="3"/>
    </row>
    <row r="1002" ht="14.25" customHeight="1">
      <c r="K1002" s="1"/>
      <c r="L1002" s="1"/>
      <c r="M1002" s="2"/>
      <c r="T1002" s="3"/>
    </row>
    <row r="1003" ht="14.25" customHeight="1">
      <c r="K1003" s="1"/>
      <c r="L1003" s="1"/>
      <c r="M1003" s="2"/>
      <c r="T1003" s="3"/>
    </row>
    <row r="1004" ht="14.25" customHeight="1">
      <c r="K1004" s="1"/>
      <c r="L1004" s="1"/>
      <c r="M1004" s="2"/>
      <c r="T1004" s="3"/>
    </row>
    <row r="1005" ht="14.25" customHeight="1">
      <c r="K1005" s="1"/>
      <c r="L1005" s="1"/>
      <c r="M1005" s="2"/>
      <c r="T1005" s="3"/>
    </row>
    <row r="1006" ht="14.25" customHeight="1">
      <c r="K1006" s="1"/>
      <c r="L1006" s="1"/>
      <c r="M1006" s="2"/>
      <c r="T1006" s="3"/>
    </row>
    <row r="1007" ht="14.25" customHeight="1">
      <c r="K1007" s="1"/>
      <c r="L1007" s="1"/>
      <c r="M1007" s="2"/>
      <c r="T1007" s="3"/>
    </row>
    <row r="1008" ht="14.25" customHeight="1">
      <c r="K1008" s="1"/>
      <c r="L1008" s="1"/>
      <c r="M1008" s="2"/>
      <c r="T1008" s="3"/>
    </row>
    <row r="1009" ht="14.25" customHeight="1">
      <c r="K1009" s="1"/>
      <c r="L1009" s="1"/>
      <c r="M1009" s="2"/>
      <c r="T1009" s="3"/>
    </row>
  </sheetData>
  <conditionalFormatting sqref="M3:M21">
    <cfRule type="cellIs" dxfId="0" priority="1" operator="lessThanOrEqual">
      <formula>0</formula>
    </cfRule>
  </conditionalFormatting>
  <conditionalFormatting sqref="P3:P21">
    <cfRule type="notContainsBlanks" dxfId="1" priority="2">
      <formula>LEN(TRIM(P3))&gt;0</formula>
    </cfRule>
  </conditionalFormatting>
  <printOptions/>
  <pageMargins bottom="0.75" footer="0.0" header="0.0" left="0.7" right="0.7" top="0.75"/>
  <pageSetup paperSize="9" scale="50"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6" width="10.63"/>
  </cols>
  <sheetData>
    <row r="1" ht="14.25" customHeight="1">
      <c r="B1" s="36" t="s">
        <v>35</v>
      </c>
    </row>
    <row r="2" ht="14.25" customHeight="1">
      <c r="A2" s="37" t="s">
        <v>0</v>
      </c>
      <c r="B2" s="37">
        <v>1.0</v>
      </c>
      <c r="C2" s="37">
        <v>2.0</v>
      </c>
      <c r="D2" s="37">
        <v>3.0</v>
      </c>
      <c r="E2" s="37">
        <v>4.0</v>
      </c>
      <c r="F2" s="37">
        <v>5.0</v>
      </c>
      <c r="G2" s="37">
        <v>6.0</v>
      </c>
      <c r="H2" s="37">
        <v>7.0</v>
      </c>
      <c r="I2" s="37">
        <v>8.0</v>
      </c>
      <c r="J2" s="37">
        <v>9.0</v>
      </c>
      <c r="K2" s="37">
        <v>10.0</v>
      </c>
      <c r="L2" s="37">
        <v>11.0</v>
      </c>
      <c r="M2" s="37">
        <v>12.0</v>
      </c>
      <c r="N2" s="37">
        <v>13.0</v>
      </c>
      <c r="O2" s="37">
        <v>14.0</v>
      </c>
      <c r="P2" s="37">
        <v>15.0</v>
      </c>
      <c r="Q2" s="37">
        <v>16.0</v>
      </c>
      <c r="R2" s="37">
        <v>17.0</v>
      </c>
      <c r="S2" s="37">
        <v>18.0</v>
      </c>
      <c r="T2" s="37">
        <v>19.0</v>
      </c>
      <c r="U2" s="37">
        <v>20.0</v>
      </c>
    </row>
    <row r="3" ht="14.25" customHeight="1">
      <c r="A3" s="38" t="s">
        <v>36</v>
      </c>
      <c r="B3" s="39">
        <f t="shared" ref="B3:U3" si="1">SUM(B4:B13)</f>
        <v>-8177.75</v>
      </c>
      <c r="C3" s="39">
        <f t="shared" si="1"/>
        <v>-7139</v>
      </c>
      <c r="D3" s="39">
        <f t="shared" si="1"/>
        <v>-6100.25</v>
      </c>
      <c r="E3" s="39">
        <f t="shared" si="1"/>
        <v>-5061.5</v>
      </c>
      <c r="F3" s="39">
        <f t="shared" si="1"/>
        <v>-4022.75</v>
      </c>
      <c r="G3" s="39">
        <f t="shared" si="1"/>
        <v>-2984</v>
      </c>
      <c r="H3" s="39">
        <f t="shared" si="1"/>
        <v>-1945.25</v>
      </c>
      <c r="I3" s="39">
        <f t="shared" si="1"/>
        <v>-906.5</v>
      </c>
      <c r="J3" s="39">
        <f t="shared" si="1"/>
        <v>132.25</v>
      </c>
      <c r="K3" s="39">
        <f t="shared" si="1"/>
        <v>1171</v>
      </c>
      <c r="L3" s="39">
        <f t="shared" si="1"/>
        <v>2209.75</v>
      </c>
      <c r="M3" s="39">
        <f t="shared" si="1"/>
        <v>3248.5</v>
      </c>
      <c r="N3" s="39">
        <f t="shared" si="1"/>
        <v>4287.25</v>
      </c>
      <c r="O3" s="39">
        <f t="shared" si="1"/>
        <v>5326</v>
      </c>
      <c r="P3" s="39">
        <f t="shared" si="1"/>
        <v>6364.75</v>
      </c>
      <c r="Q3" s="39">
        <f t="shared" si="1"/>
        <v>7403.5</v>
      </c>
      <c r="R3" s="39">
        <f t="shared" si="1"/>
        <v>8442.25</v>
      </c>
      <c r="S3" s="39">
        <f t="shared" si="1"/>
        <v>9481</v>
      </c>
      <c r="T3" s="39">
        <f t="shared" si="1"/>
        <v>10519.75</v>
      </c>
      <c r="U3" s="39">
        <f t="shared" si="1"/>
        <v>11558.5</v>
      </c>
    </row>
    <row r="4" ht="14.25" customHeight="1">
      <c r="A4" s="37" t="str">
        <f>'Matériel'!B3</f>
        <v>CDJ3000x</v>
      </c>
      <c r="B4" s="1">
        <f>-'Matériel'!C3-3*('Matériel'!$D3/12)+3*('Matériel'!$F3*'Matériel'!$H3/12)</f>
        <v>-2870</v>
      </c>
      <c r="C4" s="1">
        <f>-3*('Matériel'!$D3/12)+3*('Matériel'!$F3*'Matériel'!$H3/12)+B4</f>
        <v>-2740</v>
      </c>
      <c r="D4" s="1">
        <f>-3*('Matériel'!$D3/12)+3*('Matériel'!$F3*'Matériel'!$H3/12)+C4</f>
        <v>-2610</v>
      </c>
      <c r="E4" s="1">
        <f>-3*('Matériel'!$D3/12)+3*('Matériel'!$F3*'Matériel'!$H3/12)+D4</f>
        <v>-2480</v>
      </c>
      <c r="F4" s="1">
        <f>-3*('Matériel'!$D3/12)+3*('Matériel'!$F3*'Matériel'!$H3/12)+E4</f>
        <v>-2350</v>
      </c>
      <c r="G4" s="1">
        <f>-3*('Matériel'!$D3/12)+3*('Matériel'!$F3*'Matériel'!$H3/12)+F4</f>
        <v>-2220</v>
      </c>
      <c r="H4" s="1">
        <f>-3*('Matériel'!$D3/12)+3*('Matériel'!$F3*'Matériel'!$H3/12)+G4</f>
        <v>-2090</v>
      </c>
      <c r="I4" s="1">
        <f>-3*('Matériel'!$D3/12)+3*('Matériel'!$F3*'Matériel'!$H3/12)+H4</f>
        <v>-1960</v>
      </c>
      <c r="J4" s="1">
        <f>-3*('Matériel'!$D3/12)+3*('Matériel'!$F3*'Matériel'!$H3/12)+I4</f>
        <v>-1830</v>
      </c>
      <c r="K4" s="1">
        <f>-3*('Matériel'!$D3/12)+3*('Matériel'!$F3*'Matériel'!$H3/12)+J4</f>
        <v>-1700</v>
      </c>
      <c r="L4" s="1">
        <f>-3*('Matériel'!$D3/12)+3*('Matériel'!$F3*'Matériel'!$H3/12)+K4</f>
        <v>-1570</v>
      </c>
      <c r="M4" s="1">
        <f>-3*('Matériel'!$D3/12)+3*('Matériel'!$F3*'Matériel'!$H3/12)+L4</f>
        <v>-1440</v>
      </c>
      <c r="N4" s="1">
        <f>-3*('Matériel'!$D3/12)+3*('Matériel'!$F3*'Matériel'!$H3/12)+M4</f>
        <v>-1310</v>
      </c>
      <c r="O4" s="1">
        <f>-3*('Matériel'!$D3/12)+3*('Matériel'!$F3*'Matériel'!$H3/12)+N4</f>
        <v>-1180</v>
      </c>
      <c r="P4" s="1">
        <f>-3*('Matériel'!$D3/12)+3*('Matériel'!$F3*'Matériel'!$H3/12)+O4</f>
        <v>-1050</v>
      </c>
      <c r="Q4" s="1">
        <f>-3*('Matériel'!$D3/12)+3*('Matériel'!$F3*'Matériel'!$H3/12)+P4</f>
        <v>-920</v>
      </c>
      <c r="R4" s="1">
        <f>-3*('Matériel'!$D3/12)+3*('Matériel'!$F3*'Matériel'!$H3/12)+Q4</f>
        <v>-790</v>
      </c>
      <c r="S4" s="1">
        <f>-3*('Matériel'!$D3/12)+3*('Matériel'!$F3*'Matériel'!$H3/12)+R4</f>
        <v>-660</v>
      </c>
      <c r="T4" s="1">
        <f>-3*('Matériel'!$D3/12)+3*('Matériel'!$F3*'Matériel'!$H3/12)+S4</f>
        <v>-530</v>
      </c>
      <c r="U4" s="1">
        <f>-3*('Matériel'!$D3/12)+3*('Matériel'!$F3*'Matériel'!$H3/12)+T4</f>
        <v>-400</v>
      </c>
    </row>
    <row r="5" ht="14.25" customHeight="1">
      <c r="A5" s="37" t="str">
        <f>'Matériel'!B4</f>
        <v>Shehds 10R + flight</v>
      </c>
      <c r="B5" s="1">
        <f>-'Matériel'!C4-3*('Matériel'!$D4/12)+3*('Matériel'!$F4*'Matériel'!$H4/12)</f>
        <v>-325.5</v>
      </c>
      <c r="C5" s="1">
        <f>-3*('Matériel'!$D4/12)+3*('Matériel'!$F4*'Matériel'!$H4/12)+B5</f>
        <v>-248</v>
      </c>
      <c r="D5" s="1">
        <f>-3*('Matériel'!$D4/12)+3*('Matériel'!$F4*'Matériel'!$H4/12)+C5</f>
        <v>-170.5</v>
      </c>
      <c r="E5" s="1">
        <f>-3*('Matériel'!$D4/12)+3*('Matériel'!$F4*'Matériel'!$H4/12)+D5</f>
        <v>-93</v>
      </c>
      <c r="F5" s="1">
        <f>-3*('Matériel'!$D4/12)+3*('Matériel'!$F4*'Matériel'!$H4/12)+E5</f>
        <v>-15.5</v>
      </c>
      <c r="G5" s="1">
        <f>-3*('Matériel'!$D4/12)+3*('Matériel'!$F4*'Matériel'!$H4/12)+F5</f>
        <v>62</v>
      </c>
      <c r="H5" s="1">
        <f>-3*('Matériel'!$D4/12)+3*('Matériel'!$F4*'Matériel'!$H4/12)+G5</f>
        <v>139.5</v>
      </c>
      <c r="I5" s="1">
        <f>-3*('Matériel'!$D4/12)+3*('Matériel'!$F4*'Matériel'!$H4/12)+H5</f>
        <v>217</v>
      </c>
      <c r="J5" s="1">
        <f>-3*('Matériel'!$D4/12)+3*('Matériel'!$F4*'Matériel'!$H4/12)+I5</f>
        <v>294.5</v>
      </c>
      <c r="K5" s="1">
        <f>-3*('Matériel'!$D4/12)+3*('Matériel'!$F4*'Matériel'!$H4/12)+J5</f>
        <v>372</v>
      </c>
      <c r="L5" s="1">
        <f>-3*('Matériel'!$D4/12)+3*('Matériel'!$F4*'Matériel'!$H4/12)+K5</f>
        <v>449.5</v>
      </c>
      <c r="M5" s="1">
        <f>-3*('Matériel'!$D4/12)+3*('Matériel'!$F4*'Matériel'!$H4/12)+L5</f>
        <v>527</v>
      </c>
      <c r="N5" s="1">
        <f>-3*('Matériel'!$D4/12)+3*('Matériel'!$F4*'Matériel'!$H4/12)+M5</f>
        <v>604.5</v>
      </c>
      <c r="O5" s="1">
        <f>-3*('Matériel'!$D4/12)+3*('Matériel'!$F4*'Matériel'!$H4/12)+N5</f>
        <v>682</v>
      </c>
      <c r="P5" s="1">
        <f>-3*('Matériel'!$D4/12)+3*('Matériel'!$F4*'Matériel'!$H4/12)+O5</f>
        <v>759.5</v>
      </c>
      <c r="Q5" s="1">
        <f>-3*('Matériel'!$D4/12)+3*('Matériel'!$F4*'Matériel'!$H4/12)+P5</f>
        <v>837</v>
      </c>
      <c r="R5" s="1">
        <f>-3*('Matériel'!$D4/12)+3*('Matériel'!$F4*'Matériel'!$H4/12)+Q5</f>
        <v>914.5</v>
      </c>
      <c r="S5" s="1">
        <f>-3*('Matériel'!$D4/12)+3*('Matériel'!$F4*'Matériel'!$H4/12)+R5</f>
        <v>992</v>
      </c>
      <c r="T5" s="1">
        <f>-3*('Matériel'!$D4/12)+3*('Matériel'!$F4*'Matériel'!$H4/12)+S5</f>
        <v>1069.5</v>
      </c>
      <c r="U5" s="1">
        <f>-3*('Matériel'!$D4/12)+3*('Matériel'!$F4*'Matériel'!$H4/12)+T5</f>
        <v>1147</v>
      </c>
    </row>
    <row r="6" ht="14.25" customHeight="1">
      <c r="A6" s="37" t="str">
        <f>'Matériel'!B5</f>
        <v>Shehds 19x15 +flight</v>
      </c>
      <c r="B6" s="1">
        <f>-'Matériel'!C5-3*('Matériel'!$D5/12)+3*('Matériel'!$F5*'Matériel'!$H5/12)</f>
        <v>-213.5</v>
      </c>
      <c r="C6" s="1">
        <f>-3*('Matériel'!$D5/12)+3*('Matériel'!$F5*'Matériel'!$H5/12)+B6</f>
        <v>-156</v>
      </c>
      <c r="D6" s="1">
        <f>-3*('Matériel'!$D5/12)+3*('Matériel'!$F5*'Matériel'!$H5/12)+C6</f>
        <v>-98.5</v>
      </c>
      <c r="E6" s="1">
        <f>-3*('Matériel'!$D5/12)+3*('Matériel'!$F5*'Matériel'!$H5/12)+D6</f>
        <v>-41</v>
      </c>
      <c r="F6" s="1">
        <f>-3*('Matériel'!$D5/12)+3*('Matériel'!$F5*'Matériel'!$H5/12)+E6</f>
        <v>16.5</v>
      </c>
      <c r="G6" s="1">
        <f>-3*('Matériel'!$D5/12)+3*('Matériel'!$F5*'Matériel'!$H5/12)+F6</f>
        <v>74</v>
      </c>
      <c r="H6" s="1">
        <f>-3*('Matériel'!$D5/12)+3*('Matériel'!$F5*'Matériel'!$H5/12)+G6</f>
        <v>131.5</v>
      </c>
      <c r="I6" s="1">
        <f>-3*('Matériel'!$D5/12)+3*('Matériel'!$F5*'Matériel'!$H5/12)+H6</f>
        <v>189</v>
      </c>
      <c r="J6" s="1">
        <f>-3*('Matériel'!$D5/12)+3*('Matériel'!$F5*'Matériel'!$H5/12)+I6</f>
        <v>246.5</v>
      </c>
      <c r="K6" s="1">
        <f>-3*('Matériel'!$D5/12)+3*('Matériel'!$F5*'Matériel'!$H5/12)+J6</f>
        <v>304</v>
      </c>
      <c r="L6" s="1">
        <f>-3*('Matériel'!$D5/12)+3*('Matériel'!$F5*'Matériel'!$H5/12)+K6</f>
        <v>361.5</v>
      </c>
      <c r="M6" s="1">
        <f>-3*('Matériel'!$D5/12)+3*('Matériel'!$F5*'Matériel'!$H5/12)+L6</f>
        <v>419</v>
      </c>
      <c r="N6" s="1">
        <f>-3*('Matériel'!$D5/12)+3*('Matériel'!$F5*'Matériel'!$H5/12)+M6</f>
        <v>476.5</v>
      </c>
      <c r="O6" s="1">
        <f>-3*('Matériel'!$D5/12)+3*('Matériel'!$F5*'Matériel'!$H5/12)+N6</f>
        <v>534</v>
      </c>
      <c r="P6" s="1">
        <f>-3*('Matériel'!$D5/12)+3*('Matériel'!$F5*'Matériel'!$H5/12)+O6</f>
        <v>591.5</v>
      </c>
      <c r="Q6" s="1">
        <f>-3*('Matériel'!$D5/12)+3*('Matériel'!$F5*'Matériel'!$H5/12)+P6</f>
        <v>649</v>
      </c>
      <c r="R6" s="1">
        <f>-3*('Matériel'!$D5/12)+3*('Matériel'!$F5*'Matériel'!$H5/12)+Q6</f>
        <v>706.5</v>
      </c>
      <c r="S6" s="1">
        <f>-3*('Matériel'!$D5/12)+3*('Matériel'!$F5*'Matériel'!$H5/12)+R6</f>
        <v>764</v>
      </c>
      <c r="T6" s="1">
        <f>-3*('Matériel'!$D5/12)+3*('Matériel'!$F5*'Matériel'!$H5/12)+S6</f>
        <v>821.5</v>
      </c>
      <c r="U6" s="1">
        <f>-3*('Matériel'!$D5/12)+3*('Matériel'!$F5*'Matériel'!$H5/12)+T6</f>
        <v>879</v>
      </c>
    </row>
    <row r="7" ht="14.25" customHeight="1">
      <c r="A7" s="37" t="str">
        <f>'Matériel'!B6</f>
        <v>Shehds Barre 12x40 + flight</v>
      </c>
      <c r="B7" s="1">
        <f>-'Matériel'!C6-3*('Matériel'!$D6/12)+3*('Matériel'!$F6*'Matériel'!$H6/12)</f>
        <v>-539</v>
      </c>
      <c r="C7" s="1">
        <f>-3*('Matériel'!$D6/12)+3*('Matériel'!$F6*'Matériel'!$H6/12)+B7</f>
        <v>-466.5</v>
      </c>
      <c r="D7" s="1">
        <f>-3*('Matériel'!$D6/12)+3*('Matériel'!$F6*'Matériel'!$H6/12)+C7</f>
        <v>-394</v>
      </c>
      <c r="E7" s="1">
        <f>-3*('Matériel'!$D6/12)+3*('Matériel'!$F6*'Matériel'!$H6/12)+D7</f>
        <v>-321.5</v>
      </c>
      <c r="F7" s="1">
        <f>-3*('Matériel'!$D6/12)+3*('Matériel'!$F6*'Matériel'!$H6/12)+E7</f>
        <v>-249</v>
      </c>
      <c r="G7" s="1">
        <f>-3*('Matériel'!$D6/12)+3*('Matériel'!$F6*'Matériel'!$H6/12)+F7</f>
        <v>-176.5</v>
      </c>
      <c r="H7" s="1">
        <f>-3*('Matériel'!$D6/12)+3*('Matériel'!$F6*'Matériel'!$H6/12)+G7</f>
        <v>-104</v>
      </c>
      <c r="I7" s="1">
        <f>-3*('Matériel'!$D6/12)+3*('Matériel'!$F6*'Matériel'!$H6/12)+H7</f>
        <v>-31.5</v>
      </c>
      <c r="J7" s="1">
        <f>-3*('Matériel'!$D6/12)+3*('Matériel'!$F6*'Matériel'!$H6/12)+I7</f>
        <v>41</v>
      </c>
      <c r="K7" s="1">
        <f>-3*('Matériel'!$D6/12)+3*('Matériel'!$F6*'Matériel'!$H6/12)+J7</f>
        <v>113.5</v>
      </c>
      <c r="L7" s="1">
        <f>-3*('Matériel'!$D6/12)+3*('Matériel'!$F6*'Matériel'!$H6/12)+K7</f>
        <v>186</v>
      </c>
      <c r="M7" s="1">
        <f>-3*('Matériel'!$D6/12)+3*('Matériel'!$F6*'Matériel'!$H6/12)+L7</f>
        <v>258.5</v>
      </c>
      <c r="N7" s="1">
        <f>-3*('Matériel'!$D6/12)+3*('Matériel'!$F6*'Matériel'!$H6/12)+M7</f>
        <v>331</v>
      </c>
      <c r="O7" s="1">
        <f>-3*('Matériel'!$D6/12)+3*('Matériel'!$F6*'Matériel'!$H6/12)+N7</f>
        <v>403.5</v>
      </c>
      <c r="P7" s="1">
        <f>-3*('Matériel'!$D6/12)+3*('Matériel'!$F6*'Matériel'!$H6/12)+O7</f>
        <v>476</v>
      </c>
      <c r="Q7" s="1">
        <f>-3*('Matériel'!$D6/12)+3*('Matériel'!$F6*'Matériel'!$H6/12)+P7</f>
        <v>548.5</v>
      </c>
      <c r="R7" s="1">
        <f>-3*('Matériel'!$D6/12)+3*('Matériel'!$F6*'Matériel'!$H6/12)+Q7</f>
        <v>621</v>
      </c>
      <c r="S7" s="1">
        <f>-3*('Matériel'!$D6/12)+3*('Matériel'!$F6*'Matériel'!$H6/12)+R7</f>
        <v>693.5</v>
      </c>
      <c r="T7" s="1">
        <f>-3*('Matériel'!$D6/12)+3*('Matériel'!$F6*'Matériel'!$H6/12)+S7</f>
        <v>766</v>
      </c>
      <c r="U7" s="1">
        <f>-3*('Matériel'!$D6/12)+3*('Matériel'!$F6*'Matériel'!$H6/12)+T7</f>
        <v>838.5</v>
      </c>
    </row>
    <row r="8" ht="14.25" customHeight="1">
      <c r="A8" s="37" t="str">
        <f>'Matériel'!B7</f>
        <v>Shehds Blinder 2 eyes</v>
      </c>
      <c r="B8" s="1">
        <f>-'Matériel'!C7-3*('Matériel'!$D7/12)+3*('Matériel'!$F7*'Matériel'!$H7/12)</f>
        <v>-56.25</v>
      </c>
      <c r="C8" s="1">
        <f>-3*('Matériel'!$D7/12)+3*('Matériel'!$F7*'Matériel'!$H7/12)+B8</f>
        <v>-37.5</v>
      </c>
      <c r="D8" s="1">
        <f>-3*('Matériel'!$D7/12)+3*('Matériel'!$F7*'Matériel'!$H7/12)+C8</f>
        <v>-18.75</v>
      </c>
      <c r="E8" s="1">
        <f>-3*('Matériel'!$D7/12)+3*('Matériel'!$F7*'Matériel'!$H7/12)+D8</f>
        <v>0</v>
      </c>
      <c r="F8" s="1">
        <f>-3*('Matériel'!$D7/12)+3*('Matériel'!$F7*'Matériel'!$H7/12)+E8</f>
        <v>18.75</v>
      </c>
      <c r="G8" s="1">
        <f>-3*('Matériel'!$D7/12)+3*('Matériel'!$F7*'Matériel'!$H7/12)+F8</f>
        <v>37.5</v>
      </c>
      <c r="H8" s="1">
        <f>-3*('Matériel'!$D7/12)+3*('Matériel'!$F7*'Matériel'!$H7/12)+G8</f>
        <v>56.25</v>
      </c>
      <c r="I8" s="1">
        <f>-3*('Matériel'!$D7/12)+3*('Matériel'!$F7*'Matériel'!$H7/12)+H8</f>
        <v>75</v>
      </c>
      <c r="J8" s="1">
        <f>-3*('Matériel'!$D7/12)+3*('Matériel'!$F7*'Matériel'!$H7/12)+I8</f>
        <v>93.75</v>
      </c>
      <c r="K8" s="1">
        <f>-3*('Matériel'!$D7/12)+3*('Matériel'!$F7*'Matériel'!$H7/12)+J8</f>
        <v>112.5</v>
      </c>
      <c r="L8" s="1">
        <f>-3*('Matériel'!$D7/12)+3*('Matériel'!$F7*'Matériel'!$H7/12)+K8</f>
        <v>131.25</v>
      </c>
      <c r="M8" s="1">
        <f>-3*('Matériel'!$D7/12)+3*('Matériel'!$F7*'Matériel'!$H7/12)+L8</f>
        <v>150</v>
      </c>
      <c r="N8" s="1">
        <f>-3*('Matériel'!$D7/12)+3*('Matériel'!$F7*'Matériel'!$H7/12)+M8</f>
        <v>168.75</v>
      </c>
      <c r="O8" s="1">
        <f>-3*('Matériel'!$D7/12)+3*('Matériel'!$F7*'Matériel'!$H7/12)+N8</f>
        <v>187.5</v>
      </c>
      <c r="P8" s="1">
        <f>-3*('Matériel'!$D7/12)+3*('Matériel'!$F7*'Matériel'!$H7/12)+O8</f>
        <v>206.25</v>
      </c>
      <c r="Q8" s="1">
        <f>-3*('Matériel'!$D7/12)+3*('Matériel'!$F7*'Matériel'!$H7/12)+P8</f>
        <v>225</v>
      </c>
      <c r="R8" s="1">
        <f>-3*('Matériel'!$D7/12)+3*('Matériel'!$F7*'Matériel'!$H7/12)+Q8</f>
        <v>243.75</v>
      </c>
      <c r="S8" s="1">
        <f>-3*('Matériel'!$D7/12)+3*('Matériel'!$F7*'Matériel'!$H7/12)+R8</f>
        <v>262.5</v>
      </c>
      <c r="T8" s="1">
        <f>-3*('Matériel'!$D7/12)+3*('Matériel'!$F7*'Matériel'!$H7/12)+S8</f>
        <v>281.25</v>
      </c>
      <c r="U8" s="1">
        <f>-3*('Matériel'!$D7/12)+3*('Matériel'!$F7*'Matériel'!$H7/12)+T8</f>
        <v>300</v>
      </c>
    </row>
    <row r="9" ht="14.25" customHeight="1">
      <c r="A9" s="37" t="str">
        <f>'Matériel'!B8</f>
        <v>Laser 10W</v>
      </c>
      <c r="B9" s="1">
        <f>-'Matériel'!C8-3*('Matériel'!$D8/12)+3*('Matériel'!$F8*'Matériel'!$H8/12)</f>
        <v>-576</v>
      </c>
      <c r="C9" s="1">
        <f>-3*('Matériel'!$D8/12)+3*('Matériel'!$F8*'Matériel'!$H8/12)+B9</f>
        <v>-381</v>
      </c>
      <c r="D9" s="1">
        <f>-3*('Matériel'!$D8/12)+3*('Matériel'!$F8*'Matériel'!$H8/12)+C9</f>
        <v>-186</v>
      </c>
      <c r="E9" s="1">
        <f>-3*('Matériel'!$D8/12)+3*('Matériel'!$F8*'Matériel'!$H8/12)+D9</f>
        <v>9</v>
      </c>
      <c r="F9" s="1">
        <f>-3*('Matériel'!$D8/12)+3*('Matériel'!$F8*'Matériel'!$H8/12)+E9</f>
        <v>204</v>
      </c>
      <c r="G9" s="1">
        <f>-3*('Matériel'!$D8/12)+3*('Matériel'!$F8*'Matériel'!$H8/12)+F9</f>
        <v>399</v>
      </c>
      <c r="H9" s="1">
        <f>-3*('Matériel'!$D8/12)+3*('Matériel'!$F8*'Matériel'!$H8/12)+G9</f>
        <v>594</v>
      </c>
      <c r="I9" s="1">
        <f>-3*('Matériel'!$D8/12)+3*('Matériel'!$F8*'Matériel'!$H8/12)+H9</f>
        <v>789</v>
      </c>
      <c r="J9" s="1">
        <f>-3*('Matériel'!$D8/12)+3*('Matériel'!$F8*'Matériel'!$H8/12)+I9</f>
        <v>984</v>
      </c>
      <c r="K9" s="1">
        <f>-3*('Matériel'!$D8/12)+3*('Matériel'!$F8*'Matériel'!$H8/12)+J9</f>
        <v>1179</v>
      </c>
      <c r="L9" s="1">
        <f>-3*('Matériel'!$D8/12)+3*('Matériel'!$F8*'Matériel'!$H8/12)+K9</f>
        <v>1374</v>
      </c>
      <c r="M9" s="1">
        <f>-3*('Matériel'!$D8/12)+3*('Matériel'!$F8*'Matériel'!$H8/12)+L9</f>
        <v>1569</v>
      </c>
      <c r="N9" s="1">
        <f>-3*('Matériel'!$D8/12)+3*('Matériel'!$F8*'Matériel'!$H8/12)+M9</f>
        <v>1764</v>
      </c>
      <c r="O9" s="1">
        <f>-3*('Matériel'!$D8/12)+3*('Matériel'!$F8*'Matériel'!$H8/12)+N9</f>
        <v>1959</v>
      </c>
      <c r="P9" s="1">
        <f>-3*('Matériel'!$D8/12)+3*('Matériel'!$F8*'Matériel'!$H8/12)+O9</f>
        <v>2154</v>
      </c>
      <c r="Q9" s="1">
        <f>-3*('Matériel'!$D8/12)+3*('Matériel'!$F8*'Matériel'!$H8/12)+P9</f>
        <v>2349</v>
      </c>
      <c r="R9" s="1">
        <f>-3*('Matériel'!$D8/12)+3*('Matériel'!$F8*'Matériel'!$H8/12)+Q9</f>
        <v>2544</v>
      </c>
      <c r="S9" s="1">
        <f>-3*('Matériel'!$D8/12)+3*('Matériel'!$F8*'Matériel'!$H8/12)+R9</f>
        <v>2739</v>
      </c>
      <c r="T9" s="1">
        <f>-3*('Matériel'!$D8/12)+3*('Matériel'!$F8*'Matériel'!$H8/12)+S9</f>
        <v>2934</v>
      </c>
      <c r="U9" s="1">
        <f>-3*('Matériel'!$D8/12)+3*('Matériel'!$F8*'Matériel'!$H8/12)+T9</f>
        <v>3129</v>
      </c>
    </row>
    <row r="10" ht="14.25" customHeight="1">
      <c r="A10" s="37" t="str">
        <f>'Matériel'!B9</f>
        <v>FB4</v>
      </c>
      <c r="B10" s="1">
        <f>-'Matériel'!C9-3*('Matériel'!$D9/12)+3*('Matériel'!$F9*'Matériel'!$H9/12)</f>
        <v>-600</v>
      </c>
      <c r="C10" s="1">
        <f>-3*('Matériel'!$D9/12)+3*('Matériel'!$F9*'Matériel'!$H9/12)+B10</f>
        <v>-555</v>
      </c>
      <c r="D10" s="1">
        <f>-3*('Matériel'!$D9/12)+3*('Matériel'!$F9*'Matériel'!$H9/12)+C10</f>
        <v>-510</v>
      </c>
      <c r="E10" s="1">
        <f>-3*('Matériel'!$D9/12)+3*('Matériel'!$F9*'Matériel'!$H9/12)+D10</f>
        <v>-465</v>
      </c>
      <c r="F10" s="1">
        <f>-3*('Matériel'!$D9/12)+3*('Matériel'!$F9*'Matériel'!$H9/12)+E10</f>
        <v>-420</v>
      </c>
      <c r="G10" s="1">
        <f>-3*('Matériel'!$D9/12)+3*('Matériel'!$F9*'Matériel'!$H9/12)+F10</f>
        <v>-375</v>
      </c>
      <c r="H10" s="1">
        <f>-3*('Matériel'!$D9/12)+3*('Matériel'!$F9*'Matériel'!$H9/12)+G10</f>
        <v>-330</v>
      </c>
      <c r="I10" s="1">
        <f>-3*('Matériel'!$D9/12)+3*('Matériel'!$F9*'Matériel'!$H9/12)+H10</f>
        <v>-285</v>
      </c>
      <c r="J10" s="1">
        <f>-3*('Matériel'!$D9/12)+3*('Matériel'!$F9*'Matériel'!$H9/12)+I10</f>
        <v>-240</v>
      </c>
      <c r="K10" s="1">
        <f>-3*('Matériel'!$D9/12)+3*('Matériel'!$F9*'Matériel'!$H9/12)+J10</f>
        <v>-195</v>
      </c>
      <c r="L10" s="1">
        <f>-3*('Matériel'!$D9/12)+3*('Matériel'!$F9*'Matériel'!$H9/12)+K10</f>
        <v>-150</v>
      </c>
      <c r="M10" s="1">
        <f>-3*('Matériel'!$D9/12)+3*('Matériel'!$F9*'Matériel'!$H9/12)+L10</f>
        <v>-105</v>
      </c>
      <c r="N10" s="1">
        <f>-3*('Matériel'!$D9/12)+3*('Matériel'!$F9*'Matériel'!$H9/12)+M10</f>
        <v>-60</v>
      </c>
      <c r="O10" s="1">
        <f>-3*('Matériel'!$D9/12)+3*('Matériel'!$F9*'Matériel'!$H9/12)+N10</f>
        <v>-15</v>
      </c>
      <c r="P10" s="1">
        <f>-3*('Matériel'!$D9/12)+3*('Matériel'!$F9*'Matériel'!$H9/12)+O10</f>
        <v>30</v>
      </c>
      <c r="Q10" s="1">
        <f>-3*('Matériel'!$D9/12)+3*('Matériel'!$F9*'Matériel'!$H9/12)+P10</f>
        <v>75</v>
      </c>
      <c r="R10" s="1">
        <f>-3*('Matériel'!$D9/12)+3*('Matériel'!$F9*'Matériel'!$H9/12)+Q10</f>
        <v>120</v>
      </c>
      <c r="S10" s="1">
        <f>-3*('Matériel'!$D9/12)+3*('Matériel'!$F9*'Matériel'!$H9/12)+R10</f>
        <v>165</v>
      </c>
      <c r="T10" s="1">
        <f>-3*('Matériel'!$D9/12)+3*('Matériel'!$F9*'Matériel'!$H9/12)+S10</f>
        <v>210</v>
      </c>
      <c r="U10" s="1">
        <f>-3*('Matériel'!$D9/12)+3*('Matériel'!$F9*'Matériel'!$H9/12)+T10</f>
        <v>255</v>
      </c>
    </row>
    <row r="11" ht="14.25" customHeight="1">
      <c r="A11" s="37" t="str">
        <f>'Matériel'!B10</f>
        <v>Midas M32R + flight</v>
      </c>
      <c r="B11" s="1">
        <f>-'Matériel'!C10-3*('Matériel'!$D10/12)+3*('Matériel'!$F10*'Matériel'!$H10/12)</f>
        <v>-1535</v>
      </c>
      <c r="C11" s="1">
        <f>-3*('Matériel'!$D10/12)+3*('Matériel'!$F10*'Matériel'!$H10/12)+B11</f>
        <v>-1270</v>
      </c>
      <c r="D11" s="1">
        <f>-3*('Matériel'!$D10/12)+3*('Matériel'!$F10*'Matériel'!$H10/12)+C11</f>
        <v>-1005</v>
      </c>
      <c r="E11" s="1">
        <f>-3*('Matériel'!$D10/12)+3*('Matériel'!$F10*'Matériel'!$H10/12)+D11</f>
        <v>-740</v>
      </c>
      <c r="F11" s="1">
        <f>-3*('Matériel'!$D10/12)+3*('Matériel'!$F10*'Matériel'!$H10/12)+E11</f>
        <v>-475</v>
      </c>
      <c r="G11" s="1">
        <f>-3*('Matériel'!$D10/12)+3*('Matériel'!$F10*'Matériel'!$H10/12)+F11</f>
        <v>-210</v>
      </c>
      <c r="H11" s="1">
        <f>-3*('Matériel'!$D10/12)+3*('Matériel'!$F10*'Matériel'!$H10/12)+G11</f>
        <v>55</v>
      </c>
      <c r="I11" s="1">
        <f>-3*('Matériel'!$D10/12)+3*('Matériel'!$F10*'Matériel'!$H10/12)+H11</f>
        <v>320</v>
      </c>
      <c r="J11" s="1">
        <f>-3*('Matériel'!$D10/12)+3*('Matériel'!$F10*'Matériel'!$H10/12)+I11</f>
        <v>585</v>
      </c>
      <c r="K11" s="1">
        <f>-3*('Matériel'!$D10/12)+3*('Matériel'!$F10*'Matériel'!$H10/12)+J11</f>
        <v>850</v>
      </c>
      <c r="L11" s="1">
        <f>-3*('Matériel'!$D10/12)+3*('Matériel'!$F10*'Matériel'!$H10/12)+K11</f>
        <v>1115</v>
      </c>
      <c r="M11" s="1">
        <f>-3*('Matériel'!$D10/12)+3*('Matériel'!$F10*'Matériel'!$H10/12)+L11</f>
        <v>1380</v>
      </c>
      <c r="N11" s="1">
        <f>-3*('Matériel'!$D10/12)+3*('Matériel'!$F10*'Matériel'!$H10/12)+M11</f>
        <v>1645</v>
      </c>
      <c r="O11" s="1">
        <f>-3*('Matériel'!$D10/12)+3*('Matériel'!$F10*'Matériel'!$H10/12)+N11</f>
        <v>1910</v>
      </c>
      <c r="P11" s="1">
        <f>-3*('Matériel'!$D10/12)+3*('Matériel'!$F10*'Matériel'!$H10/12)+O11</f>
        <v>2175</v>
      </c>
      <c r="Q11" s="1">
        <f>-3*('Matériel'!$D10/12)+3*('Matériel'!$F10*'Matériel'!$H10/12)+P11</f>
        <v>2440</v>
      </c>
      <c r="R11" s="1">
        <f>-3*('Matériel'!$D10/12)+3*('Matériel'!$F10*'Matériel'!$H10/12)+Q11</f>
        <v>2705</v>
      </c>
      <c r="S11" s="1">
        <f>-3*('Matériel'!$D10/12)+3*('Matériel'!$F10*'Matériel'!$H10/12)+R11</f>
        <v>2970</v>
      </c>
      <c r="T11" s="1">
        <f>-3*('Matériel'!$D10/12)+3*('Matériel'!$F10*'Matériel'!$H10/12)+S11</f>
        <v>3235</v>
      </c>
      <c r="U11" s="1">
        <f>-3*('Matériel'!$D10/12)+3*('Matériel'!$F10*'Matériel'!$H10/12)+T11</f>
        <v>3500</v>
      </c>
    </row>
    <row r="12" ht="14.25" customHeight="1">
      <c r="A12" s="37" t="str">
        <f>'Matériel'!B11</f>
        <v>RJ45 touret high quality</v>
      </c>
      <c r="B12" s="1">
        <f>-'Matériel'!C11-3*('Matériel'!$D11/12)+3*('Matériel'!$F11*'Matériel'!$H11/12)</f>
        <v>-162.5</v>
      </c>
      <c r="C12" s="1">
        <f>-3*('Matériel'!$D11/12)+3*('Matériel'!$F11*'Matériel'!$H11/12)+B12</f>
        <v>-85</v>
      </c>
      <c r="D12" s="1">
        <f>-3*('Matériel'!$D11/12)+3*('Matériel'!$F11*'Matériel'!$H11/12)+C12</f>
        <v>-7.5</v>
      </c>
      <c r="E12" s="1">
        <f>-3*('Matériel'!$D11/12)+3*('Matériel'!$F11*'Matériel'!$H11/12)+D12</f>
        <v>70</v>
      </c>
      <c r="F12" s="1">
        <f>-3*('Matériel'!$D11/12)+3*('Matériel'!$F11*'Matériel'!$H11/12)+E12</f>
        <v>147.5</v>
      </c>
      <c r="G12" s="1">
        <f>-3*('Matériel'!$D11/12)+3*('Matériel'!$F11*'Matériel'!$H11/12)+F12</f>
        <v>225</v>
      </c>
      <c r="H12" s="1">
        <f>-3*('Matériel'!$D11/12)+3*('Matériel'!$F11*'Matériel'!$H11/12)+G12</f>
        <v>302.5</v>
      </c>
      <c r="I12" s="1">
        <f>-3*('Matériel'!$D11/12)+3*('Matériel'!$F11*'Matériel'!$H11/12)+H12</f>
        <v>380</v>
      </c>
      <c r="J12" s="1">
        <f>-3*('Matériel'!$D11/12)+3*('Matériel'!$F11*'Matériel'!$H11/12)+I12</f>
        <v>457.5</v>
      </c>
      <c r="K12" s="1">
        <f>-3*('Matériel'!$D11/12)+3*('Matériel'!$F11*'Matériel'!$H11/12)+J12</f>
        <v>535</v>
      </c>
      <c r="L12" s="1">
        <f>-3*('Matériel'!$D11/12)+3*('Matériel'!$F11*'Matériel'!$H11/12)+K12</f>
        <v>612.5</v>
      </c>
      <c r="M12" s="1">
        <f>-3*('Matériel'!$D11/12)+3*('Matériel'!$F11*'Matériel'!$H11/12)+L12</f>
        <v>690</v>
      </c>
      <c r="N12" s="1">
        <f>-3*('Matériel'!$D11/12)+3*('Matériel'!$F11*'Matériel'!$H11/12)+M12</f>
        <v>767.5</v>
      </c>
      <c r="O12" s="1">
        <f>-3*('Matériel'!$D11/12)+3*('Matériel'!$F11*'Matériel'!$H11/12)+N12</f>
        <v>845</v>
      </c>
      <c r="P12" s="1">
        <f>-3*('Matériel'!$D11/12)+3*('Matériel'!$F11*'Matériel'!$H11/12)+O12</f>
        <v>922.5</v>
      </c>
      <c r="Q12" s="1">
        <f>-3*('Matériel'!$D11/12)+3*('Matériel'!$F11*'Matériel'!$H11/12)+P12</f>
        <v>1000</v>
      </c>
      <c r="R12" s="1">
        <f>-3*('Matériel'!$D11/12)+3*('Matériel'!$F11*'Matériel'!$H11/12)+Q12</f>
        <v>1077.5</v>
      </c>
      <c r="S12" s="1">
        <f>-3*('Matériel'!$D11/12)+3*('Matériel'!$F11*'Matériel'!$H11/12)+R12</f>
        <v>1155</v>
      </c>
      <c r="T12" s="1">
        <f>-3*('Matériel'!$D11/12)+3*('Matériel'!$F11*'Matériel'!$H11/12)+S12</f>
        <v>1232.5</v>
      </c>
      <c r="U12" s="1">
        <f>-3*('Matériel'!$D11/12)+3*('Matériel'!$F11*'Matériel'!$H11/12)+T12</f>
        <v>1310</v>
      </c>
    </row>
    <row r="13" ht="14.25" customHeight="1">
      <c r="A13" s="37" t="str">
        <f>'Matériel'!B12</f>
        <v>Midas DL32</v>
      </c>
      <c r="B13" s="1">
        <f>-'Matériel'!C12-3*('Matériel'!$D12/12)+3*('Matériel'!$F12*'Matériel'!$H12/12)</f>
        <v>-1300</v>
      </c>
      <c r="C13" s="1">
        <f>-3*('Matériel'!$D12/12)+3*('Matériel'!$F12*'Matériel'!$H12/12)+B13</f>
        <v>-1200</v>
      </c>
      <c r="D13" s="1">
        <f>-3*('Matériel'!$D12/12)+3*('Matériel'!$F12*'Matériel'!$H12/12)+C13</f>
        <v>-1100</v>
      </c>
      <c r="E13" s="1">
        <f>-3*('Matériel'!$D12/12)+3*('Matériel'!$F12*'Matériel'!$H12/12)+D13</f>
        <v>-1000</v>
      </c>
      <c r="F13" s="1">
        <f>-3*('Matériel'!$D12/12)+3*('Matériel'!$F12*'Matériel'!$H12/12)+E13</f>
        <v>-900</v>
      </c>
      <c r="G13" s="1">
        <f>-3*('Matériel'!$D12/12)+3*('Matériel'!$F12*'Matériel'!$H12/12)+F13</f>
        <v>-800</v>
      </c>
      <c r="H13" s="1">
        <f>-3*('Matériel'!$D12/12)+3*('Matériel'!$F12*'Matériel'!$H12/12)+G13</f>
        <v>-700</v>
      </c>
      <c r="I13" s="1">
        <f>-3*('Matériel'!$D12/12)+3*('Matériel'!$F12*'Matériel'!$H12/12)+H13</f>
        <v>-600</v>
      </c>
      <c r="J13" s="1">
        <f>-3*('Matériel'!$D12/12)+3*('Matériel'!$F12*'Matériel'!$H12/12)+I13</f>
        <v>-500</v>
      </c>
      <c r="K13" s="1">
        <f>-3*('Matériel'!$D12/12)+3*('Matériel'!$F12*'Matériel'!$H12/12)+J13</f>
        <v>-400</v>
      </c>
      <c r="L13" s="1">
        <f>-3*('Matériel'!$D12/12)+3*('Matériel'!$F12*'Matériel'!$H12/12)+K13</f>
        <v>-300</v>
      </c>
      <c r="M13" s="1">
        <f>-3*('Matériel'!$D12/12)+3*('Matériel'!$F12*'Matériel'!$H12/12)+L13</f>
        <v>-200</v>
      </c>
      <c r="N13" s="1">
        <f>-3*('Matériel'!$D12/12)+3*('Matériel'!$F12*'Matériel'!$H12/12)+M13</f>
        <v>-100</v>
      </c>
      <c r="O13" s="1">
        <f>-3*('Matériel'!$D12/12)+3*('Matériel'!$F12*'Matériel'!$H12/12)+N13</f>
        <v>0</v>
      </c>
      <c r="P13" s="1">
        <f>-3*('Matériel'!$D12/12)+3*('Matériel'!$F12*'Matériel'!$H12/12)+O13</f>
        <v>100</v>
      </c>
      <c r="Q13" s="1">
        <f>-3*('Matériel'!$D12/12)+3*('Matériel'!$F12*'Matériel'!$H12/12)+P13</f>
        <v>200</v>
      </c>
      <c r="R13" s="1">
        <f>-3*('Matériel'!$D12/12)+3*('Matériel'!$F12*'Matériel'!$H12/12)+Q13</f>
        <v>300</v>
      </c>
      <c r="S13" s="1">
        <f>-3*('Matériel'!$D12/12)+3*('Matériel'!$F12*'Matériel'!$H12/12)+R13</f>
        <v>400</v>
      </c>
      <c r="T13" s="1">
        <f>-3*('Matériel'!$D12/12)+3*('Matériel'!$F12*'Matériel'!$H12/12)+S13</f>
        <v>500</v>
      </c>
      <c r="U13" s="1">
        <f>-3*('Matériel'!$D12/12)+3*('Matériel'!$F12*'Matériel'!$H12/12)+T13</f>
        <v>600</v>
      </c>
    </row>
    <row r="14" ht="14.25" customHeight="1">
      <c r="A14" s="37" t="str">
        <f>'Matériel'!B13</f>
        <v>Xone96</v>
      </c>
      <c r="B14" s="1">
        <f>-'Matériel'!C13-3*('Matériel'!$D13/12)+3*('Matériel'!$F13*'Matériel'!$H13/12)</f>
        <v>-1475</v>
      </c>
      <c r="C14" s="1">
        <f>-3*('Matériel'!$D13/12)+3*('Matériel'!$F13*'Matériel'!$H13/12)+B14</f>
        <v>-1350</v>
      </c>
      <c r="D14" s="1">
        <f>-3*('Matériel'!$D13/12)+3*('Matériel'!$F13*'Matériel'!$H13/12)+C14</f>
        <v>-1225</v>
      </c>
      <c r="E14" s="1">
        <f>-3*('Matériel'!$D13/12)+3*('Matériel'!$F13*'Matériel'!$H13/12)+D14</f>
        <v>-1100</v>
      </c>
      <c r="F14" s="1">
        <f>-3*('Matériel'!$D13/12)+3*('Matériel'!$F13*'Matériel'!$H13/12)+E14</f>
        <v>-975</v>
      </c>
      <c r="G14" s="1">
        <f>-3*('Matériel'!$D13/12)+3*('Matériel'!$F13*'Matériel'!$H13/12)+F14</f>
        <v>-850</v>
      </c>
      <c r="H14" s="1">
        <f>-3*('Matériel'!$D13/12)+3*('Matériel'!$F13*'Matériel'!$H13/12)+G14</f>
        <v>-725</v>
      </c>
      <c r="I14" s="1">
        <f>-3*('Matériel'!$D13/12)+3*('Matériel'!$F13*'Matériel'!$H13/12)+H14</f>
        <v>-600</v>
      </c>
      <c r="J14" s="1">
        <f>-3*('Matériel'!$D13/12)+3*('Matériel'!$F13*'Matériel'!$H13/12)+I14</f>
        <v>-475</v>
      </c>
      <c r="K14" s="1">
        <f>-3*('Matériel'!$D13/12)+3*('Matériel'!$F13*'Matériel'!$H13/12)+J14</f>
        <v>-350</v>
      </c>
      <c r="L14" s="1">
        <f>-3*('Matériel'!$D13/12)+3*('Matériel'!$F13*'Matériel'!$H13/12)+K14</f>
        <v>-225</v>
      </c>
      <c r="M14" s="1">
        <f>-3*('Matériel'!$D13/12)+3*('Matériel'!$F13*'Matériel'!$H13/12)+L14</f>
        <v>-100</v>
      </c>
      <c r="N14" s="1">
        <f>-3*('Matériel'!$D13/12)+3*('Matériel'!$F13*'Matériel'!$H13/12)+M14</f>
        <v>25</v>
      </c>
      <c r="O14" s="1">
        <f>-3*('Matériel'!$D13/12)+3*('Matériel'!$F13*'Matériel'!$H13/12)+N14</f>
        <v>150</v>
      </c>
      <c r="P14" s="1">
        <f>-3*('Matériel'!$D13/12)+3*('Matériel'!$F13*'Matériel'!$H13/12)+O14</f>
        <v>275</v>
      </c>
      <c r="Q14" s="1">
        <f>-3*('Matériel'!$D13/12)+3*('Matériel'!$F13*'Matériel'!$H13/12)+P14</f>
        <v>400</v>
      </c>
      <c r="R14" s="1">
        <f>-3*('Matériel'!$D13/12)+3*('Matériel'!$F13*'Matériel'!$H13/12)+Q14</f>
        <v>525</v>
      </c>
      <c r="S14" s="1">
        <f>-3*('Matériel'!$D13/12)+3*('Matériel'!$F13*'Matériel'!$H13/12)+R14</f>
        <v>650</v>
      </c>
      <c r="T14" s="1">
        <f>-3*('Matériel'!$D13/12)+3*('Matériel'!$F13*'Matériel'!$H13/12)+S14</f>
        <v>775</v>
      </c>
      <c r="U14" s="1">
        <f>-3*('Matériel'!$D13/12)+3*('Matériel'!$F13*'Matériel'!$H13/12)+T14</f>
        <v>900</v>
      </c>
    </row>
    <row r="15" ht="14.25" customHeight="1">
      <c r="A15" s="37" t="str">
        <f>'Matériel'!B14</f>
        <v>DJM A9</v>
      </c>
      <c r="B15" s="1">
        <f>-'Matériel'!C14-3*('Matériel'!$D14/12)+3*('Matériel'!$F14*'Matériel'!$H14/12)</f>
        <v>-2345</v>
      </c>
      <c r="C15" s="1">
        <f>-3*('Matériel'!$D14/12)+3*('Matériel'!$F14*'Matériel'!$H14/12)+B15</f>
        <v>-2190</v>
      </c>
      <c r="D15" s="1">
        <f>-3*('Matériel'!$D14/12)+3*('Matériel'!$F14*'Matériel'!$H14/12)+C15</f>
        <v>-2035</v>
      </c>
      <c r="E15" s="1">
        <f>-3*('Matériel'!$D14/12)+3*('Matériel'!$F14*'Matériel'!$H14/12)+D15</f>
        <v>-1880</v>
      </c>
      <c r="F15" s="1">
        <f>-3*('Matériel'!$D14/12)+3*('Matériel'!$F14*'Matériel'!$H14/12)+E15</f>
        <v>-1725</v>
      </c>
      <c r="G15" s="1">
        <f>-3*('Matériel'!$D14/12)+3*('Matériel'!$F14*'Matériel'!$H14/12)+F15</f>
        <v>-1570</v>
      </c>
      <c r="H15" s="1">
        <f>-3*('Matériel'!$D14/12)+3*('Matériel'!$F14*'Matériel'!$H14/12)+G15</f>
        <v>-1415</v>
      </c>
      <c r="I15" s="1">
        <f>-3*('Matériel'!$D14/12)+3*('Matériel'!$F14*'Matériel'!$H14/12)+H15</f>
        <v>-1260</v>
      </c>
      <c r="J15" s="1">
        <f>-3*('Matériel'!$D14/12)+3*('Matériel'!$F14*'Matériel'!$H14/12)+I15</f>
        <v>-1105</v>
      </c>
      <c r="K15" s="1">
        <f>-3*('Matériel'!$D14/12)+3*('Matériel'!$F14*'Matériel'!$H14/12)+J15</f>
        <v>-950</v>
      </c>
      <c r="L15" s="1">
        <f>-3*('Matériel'!$D14/12)+3*('Matériel'!$F14*'Matériel'!$H14/12)+K15</f>
        <v>-795</v>
      </c>
      <c r="M15" s="1">
        <f>-3*('Matériel'!$D14/12)+3*('Matériel'!$F14*'Matériel'!$H14/12)+L15</f>
        <v>-640</v>
      </c>
      <c r="N15" s="1">
        <f>-3*('Matériel'!$D14/12)+3*('Matériel'!$F14*'Matériel'!$H14/12)+M15</f>
        <v>-485</v>
      </c>
      <c r="O15" s="1">
        <f>-3*('Matériel'!$D14/12)+3*('Matériel'!$F14*'Matériel'!$H14/12)+N15</f>
        <v>-330</v>
      </c>
      <c r="P15" s="1">
        <f>-3*('Matériel'!$D14/12)+3*('Matériel'!$F14*'Matériel'!$H14/12)+O15</f>
        <v>-175</v>
      </c>
      <c r="Q15" s="1">
        <f>-3*('Matériel'!$D14/12)+3*('Matériel'!$F14*'Matériel'!$H14/12)+P15</f>
        <v>-20</v>
      </c>
      <c r="R15" s="1">
        <f>-3*('Matériel'!$D14/12)+3*('Matériel'!$F14*'Matériel'!$H14/12)+Q15</f>
        <v>135</v>
      </c>
      <c r="S15" s="1">
        <f>-3*('Matériel'!$D14/12)+3*('Matériel'!$F14*'Matériel'!$H14/12)+R15</f>
        <v>290</v>
      </c>
      <c r="T15" s="1">
        <f>-3*('Matériel'!$D14/12)+3*('Matériel'!$F14*'Matériel'!$H14/12)+S15</f>
        <v>445</v>
      </c>
      <c r="U15" s="1">
        <f>-3*('Matériel'!$D14/12)+3*('Matériel'!$F14*'Matériel'!$H14/12)+T15</f>
        <v>600</v>
      </c>
    </row>
    <row r="16" ht="14.25" customHeight="1">
      <c r="A16" s="37" t="str">
        <f>'Matériel'!B22</f>
        <v/>
      </c>
      <c r="B16" s="37">
        <f>-'Matériel'!C22-3*('Matériel'!$D22/12)+3*('Matériel'!$F22*'Matériel'!$H22/12)</f>
        <v>0</v>
      </c>
      <c r="C16" s="37">
        <f>-3*('Matériel'!$D22/12)+3*('Matériel'!$F22*'Matériel'!$H22/12)+B16</f>
        <v>0</v>
      </c>
      <c r="D16" s="37">
        <f>-3*('Matériel'!$D22/12)+3*('Matériel'!$F22*'Matériel'!$H22/12)+C16</f>
        <v>0</v>
      </c>
      <c r="E16" s="37">
        <f>-3*('Matériel'!$D22/12)+3*('Matériel'!$F22*'Matériel'!$H22/12)+D16</f>
        <v>0</v>
      </c>
      <c r="F16" s="37">
        <f>-3*('Matériel'!$D22/12)+3*('Matériel'!$F22*'Matériel'!$H22/12)+E16</f>
        <v>0</v>
      </c>
      <c r="G16" s="37">
        <f>-3*('Matériel'!$D22/12)+3*('Matériel'!$F22*'Matériel'!$H22/12)+F16</f>
        <v>0</v>
      </c>
      <c r="H16" s="37">
        <f>-3*('Matériel'!$D22/12)+3*('Matériel'!$F22*'Matériel'!$H22/12)+G16</f>
        <v>0</v>
      </c>
      <c r="I16" s="37">
        <f>-3*('Matériel'!$D22/12)+3*('Matériel'!$F22*'Matériel'!$H22/12)+H16</f>
        <v>0</v>
      </c>
      <c r="J16" s="37">
        <f>-3*('Matériel'!$D22/12)+3*('Matériel'!$F22*'Matériel'!$H22/12)+I16</f>
        <v>0</v>
      </c>
      <c r="K16" s="37">
        <f>-3*('Matériel'!$D22/12)+3*('Matériel'!$F22*'Matériel'!$H22/12)+J16</f>
        <v>0</v>
      </c>
      <c r="L16" s="37">
        <f>-3*('Matériel'!$D22/12)+3*('Matériel'!$F22*'Matériel'!$H22/12)+K16</f>
        <v>0</v>
      </c>
      <c r="M16" s="37">
        <f>-3*('Matériel'!$D22/12)+3*('Matériel'!$F22*'Matériel'!$H22/12)+L16</f>
        <v>0</v>
      </c>
      <c r="N16" s="37">
        <f>-3*('Matériel'!$D22/12)+3*('Matériel'!$F22*'Matériel'!$H22/12)+M16</f>
        <v>0</v>
      </c>
      <c r="O16" s="37">
        <f>-3*('Matériel'!$D22/12)+3*('Matériel'!$F22*'Matériel'!$H22/12)+N16</f>
        <v>0</v>
      </c>
      <c r="P16" s="37">
        <f>-3*('Matériel'!$D22/12)+3*('Matériel'!$F22*'Matériel'!$H22/12)+O16</f>
        <v>0</v>
      </c>
      <c r="Q16" s="37">
        <f>-3*('Matériel'!$D22/12)+3*('Matériel'!$F22*'Matériel'!$H22/12)+P16</f>
        <v>0</v>
      </c>
      <c r="R16" s="37">
        <f>-3*('Matériel'!$D22/12)+3*('Matériel'!$F22*'Matériel'!$H22/12)+Q16</f>
        <v>0</v>
      </c>
      <c r="S16" s="37">
        <f>-3*('Matériel'!$D22/12)+3*('Matériel'!$F22*'Matériel'!$H22/12)+R16</f>
        <v>0</v>
      </c>
      <c r="T16" s="37">
        <f>-3*('Matériel'!$D22/12)+3*('Matériel'!$F22*'Matériel'!$H22/12)+S16</f>
        <v>0</v>
      </c>
      <c r="U16" s="37">
        <f>-3*('Matériel'!$D22/12)+3*('Matériel'!$F22*'Matériel'!$H22/12)+T16</f>
        <v>0</v>
      </c>
    </row>
    <row r="17" ht="14.25" customHeight="1">
      <c r="A17" s="37" t="str">
        <f>'Matériel'!B23</f>
        <v/>
      </c>
      <c r="B17" s="37" t="str">
        <f>-'Matériel'!C23-3*('Matériel'!$D23/12)+3*('Matériel'!$F23*#REF!/12)</f>
        <v>#REF!</v>
      </c>
      <c r="C17" s="37" t="str">
        <f>-3*('Matériel'!$D23/12)+3*('Matériel'!$F23*#REF!/12)+B17</f>
        <v>#REF!</v>
      </c>
      <c r="D17" s="37" t="str">
        <f>-3*('Matériel'!$D23/12)+3*('Matériel'!$F23*#REF!/12)+C17</f>
        <v>#REF!</v>
      </c>
      <c r="E17" s="37" t="str">
        <f>-3*('Matériel'!$D23/12)+3*('Matériel'!$F23*#REF!/12)+D17</f>
        <v>#REF!</v>
      </c>
      <c r="F17" s="37" t="str">
        <f>-3*('Matériel'!$D23/12)+3*('Matériel'!$F23*#REF!/12)+E17</f>
        <v>#REF!</v>
      </c>
      <c r="G17" s="37" t="str">
        <f>-3*('Matériel'!$D23/12)+3*('Matériel'!$F23*#REF!/12)+F17</f>
        <v>#REF!</v>
      </c>
      <c r="H17" s="37" t="str">
        <f>-3*('Matériel'!$D23/12)+3*('Matériel'!$F23*#REF!/12)+G17</f>
        <v>#REF!</v>
      </c>
      <c r="I17" s="37" t="str">
        <f>-3*('Matériel'!$D23/12)+3*('Matériel'!$F23*#REF!/12)+H17</f>
        <v>#REF!</v>
      </c>
      <c r="J17" s="37" t="str">
        <f>-3*('Matériel'!$D23/12)+3*('Matériel'!$F23*#REF!/12)+I17</f>
        <v>#REF!</v>
      </c>
      <c r="K17" s="37" t="str">
        <f>-3*('Matériel'!$D23/12)+3*('Matériel'!$F23*#REF!/12)+J17</f>
        <v>#REF!</v>
      </c>
      <c r="L17" s="37" t="str">
        <f>-3*('Matériel'!$D23/12)+3*('Matériel'!$F23*#REF!/12)+K17</f>
        <v>#REF!</v>
      </c>
      <c r="M17" s="37" t="str">
        <f>-3*('Matériel'!$D23/12)+3*('Matériel'!$F23*#REF!/12)+L17</f>
        <v>#REF!</v>
      </c>
      <c r="N17" s="37" t="str">
        <f>-3*('Matériel'!$D23/12)+3*('Matériel'!$F23*#REF!/12)+M17</f>
        <v>#REF!</v>
      </c>
      <c r="O17" s="37" t="str">
        <f>-3*('Matériel'!$D23/12)+3*('Matériel'!$F23*#REF!/12)+N17</f>
        <v>#REF!</v>
      </c>
      <c r="P17" s="37" t="str">
        <f>-3*('Matériel'!$D23/12)+3*('Matériel'!$F23*#REF!/12)+O17</f>
        <v>#REF!</v>
      </c>
      <c r="Q17" s="37" t="str">
        <f>-3*('Matériel'!$D23/12)+3*('Matériel'!$F23*#REF!/12)+P17</f>
        <v>#REF!</v>
      </c>
      <c r="R17" s="37" t="str">
        <f>-3*('Matériel'!$D23/12)+3*('Matériel'!$F23*#REF!/12)+Q17</f>
        <v>#REF!</v>
      </c>
      <c r="S17" s="37" t="str">
        <f>-3*('Matériel'!$D23/12)+3*('Matériel'!$F23*#REF!/12)+R17</f>
        <v>#REF!</v>
      </c>
      <c r="T17" s="37" t="str">
        <f>-3*('Matériel'!$D23/12)+3*('Matériel'!$F23*#REF!/12)+S17</f>
        <v>#REF!</v>
      </c>
      <c r="U17" s="37" t="str">
        <f>-3*('Matériel'!$D23/12)+3*('Matériel'!$F23*#REF!/12)+T17</f>
        <v>#REF!</v>
      </c>
    </row>
    <row r="18" ht="14.25" customHeight="1">
      <c r="A18" s="37" t="str">
        <f>'Matériel'!B24</f>
        <v/>
      </c>
      <c r="B18" s="37">
        <f>-'Matériel'!C24-3*('Matériel'!$D24/12)+3*('Matériel'!$F24*'Matériel'!$H24/12)</f>
        <v>0</v>
      </c>
      <c r="C18" s="37">
        <f>-3*('Matériel'!$D24/12)+3*('Matériel'!$F24*'Matériel'!$H24/12)+B18</f>
        <v>0</v>
      </c>
      <c r="D18" s="37">
        <f>-3*('Matériel'!$D24/12)+3*('Matériel'!$F24*'Matériel'!$H24/12)+C18</f>
        <v>0</v>
      </c>
      <c r="E18" s="37">
        <f>-3*('Matériel'!$D24/12)+3*('Matériel'!$F24*'Matériel'!$H24/12)+D18</f>
        <v>0</v>
      </c>
      <c r="F18" s="37">
        <f>-3*('Matériel'!$D24/12)+3*('Matériel'!$F24*'Matériel'!$H24/12)+E18</f>
        <v>0</v>
      </c>
      <c r="G18" s="37">
        <f>-3*('Matériel'!$D24/12)+3*('Matériel'!$F24*'Matériel'!$H24/12)+F18</f>
        <v>0</v>
      </c>
      <c r="H18" s="37">
        <f>-3*('Matériel'!$D24/12)+3*('Matériel'!$F24*'Matériel'!$H24/12)+G18</f>
        <v>0</v>
      </c>
      <c r="I18" s="37">
        <f>-3*('Matériel'!$D24/12)+3*('Matériel'!$F24*'Matériel'!$H24/12)+H18</f>
        <v>0</v>
      </c>
      <c r="J18" s="37">
        <f>-3*('Matériel'!$D24/12)+3*('Matériel'!$F24*'Matériel'!$H24/12)+I18</f>
        <v>0</v>
      </c>
      <c r="K18" s="37">
        <f>-3*('Matériel'!$D24/12)+3*('Matériel'!$F24*'Matériel'!$H24/12)+J18</f>
        <v>0</v>
      </c>
      <c r="L18" s="37">
        <f>-3*('Matériel'!$D24/12)+3*('Matériel'!$F24*'Matériel'!$H24/12)+K18</f>
        <v>0</v>
      </c>
      <c r="M18" s="37">
        <f>-3*('Matériel'!$D24/12)+3*('Matériel'!$F24*'Matériel'!$H24/12)+L18</f>
        <v>0</v>
      </c>
      <c r="N18" s="37">
        <f>-3*('Matériel'!$D24/12)+3*('Matériel'!$F24*'Matériel'!$H24/12)+M18</f>
        <v>0</v>
      </c>
      <c r="O18" s="37">
        <f>-3*('Matériel'!$D24/12)+3*('Matériel'!$F24*'Matériel'!$H24/12)+N18</f>
        <v>0</v>
      </c>
      <c r="P18" s="37">
        <f>-3*('Matériel'!$D24/12)+3*('Matériel'!$F24*'Matériel'!$H24/12)+O18</f>
        <v>0</v>
      </c>
      <c r="Q18" s="37">
        <f>-3*('Matériel'!$D24/12)+3*('Matériel'!$F24*'Matériel'!$H24/12)+P18</f>
        <v>0</v>
      </c>
      <c r="R18" s="37">
        <f>-3*('Matériel'!$D24/12)+3*('Matériel'!$F24*'Matériel'!$H24/12)+Q18</f>
        <v>0</v>
      </c>
      <c r="S18" s="37">
        <f>-3*('Matériel'!$D24/12)+3*('Matériel'!$F24*'Matériel'!$H24/12)+R18</f>
        <v>0</v>
      </c>
      <c r="T18" s="37">
        <f>-3*('Matériel'!$D24/12)+3*('Matériel'!$F24*'Matériel'!$H24/12)+S18</f>
        <v>0</v>
      </c>
      <c r="U18" s="37">
        <f>-3*('Matériel'!$D24/12)+3*('Matériel'!$F24*'Matériel'!$H24/12)+T18</f>
        <v>0</v>
      </c>
    </row>
    <row r="19" ht="14.25" customHeight="1">
      <c r="A19" s="37" t="str">
        <f>'Matériel'!B25</f>
        <v/>
      </c>
      <c r="B19" s="37">
        <f>-'Matériel'!C25-3*('Matériel'!$D25/12)+3*('Matériel'!$F25*'Matériel'!$H25/12)</f>
        <v>0</v>
      </c>
      <c r="C19" s="37">
        <f>-3*('Matériel'!$D25/12)+3*('Matériel'!$F25*'Matériel'!$H25/12)+B19</f>
        <v>0</v>
      </c>
      <c r="D19" s="37">
        <f>-3*('Matériel'!$D25/12)+3*('Matériel'!$F25*'Matériel'!$H25/12)+C19</f>
        <v>0</v>
      </c>
      <c r="E19" s="37">
        <f>-3*('Matériel'!$D25/12)+3*('Matériel'!$F25*'Matériel'!$H25/12)+D19</f>
        <v>0</v>
      </c>
      <c r="F19" s="37">
        <f>-3*('Matériel'!$D25/12)+3*('Matériel'!$F25*'Matériel'!$H25/12)+E19</f>
        <v>0</v>
      </c>
      <c r="G19" s="37">
        <f>-3*('Matériel'!$D25/12)+3*('Matériel'!$F25*'Matériel'!$H25/12)+F19</f>
        <v>0</v>
      </c>
      <c r="H19" s="37">
        <f>-3*('Matériel'!$D25/12)+3*('Matériel'!$F25*'Matériel'!$H25/12)+G19</f>
        <v>0</v>
      </c>
      <c r="I19" s="37">
        <f>-3*('Matériel'!$D25/12)+3*('Matériel'!$F25*'Matériel'!$H25/12)+H19</f>
        <v>0</v>
      </c>
      <c r="J19" s="37">
        <f>-3*('Matériel'!$D25/12)+3*('Matériel'!$F25*'Matériel'!$H25/12)+I19</f>
        <v>0</v>
      </c>
      <c r="K19" s="37">
        <f>-3*('Matériel'!$D25/12)+3*('Matériel'!$F25*'Matériel'!$H25/12)+J19</f>
        <v>0</v>
      </c>
      <c r="L19" s="37">
        <f>-3*('Matériel'!$D25/12)+3*('Matériel'!$F25*'Matériel'!$H25/12)+K19</f>
        <v>0</v>
      </c>
      <c r="M19" s="37">
        <f>-3*('Matériel'!$D25/12)+3*('Matériel'!$F25*'Matériel'!$H25/12)+L19</f>
        <v>0</v>
      </c>
      <c r="N19" s="37">
        <f>-3*('Matériel'!$D25/12)+3*('Matériel'!$F25*'Matériel'!$H25/12)+M19</f>
        <v>0</v>
      </c>
      <c r="O19" s="37">
        <f>-3*('Matériel'!$D25/12)+3*('Matériel'!$F25*'Matériel'!$H25/12)+N19</f>
        <v>0</v>
      </c>
      <c r="P19" s="37">
        <f>-3*('Matériel'!$D25/12)+3*('Matériel'!$F25*'Matériel'!$H25/12)+O19</f>
        <v>0</v>
      </c>
      <c r="Q19" s="37">
        <f>-3*('Matériel'!$D25/12)+3*('Matériel'!$F25*'Matériel'!$H25/12)+P19</f>
        <v>0</v>
      </c>
      <c r="R19" s="37">
        <f>-3*('Matériel'!$D25/12)+3*('Matériel'!$F25*'Matériel'!$H25/12)+Q19</f>
        <v>0</v>
      </c>
      <c r="S19" s="37">
        <f>-3*('Matériel'!$D25/12)+3*('Matériel'!$F25*'Matériel'!$H25/12)+R19</f>
        <v>0</v>
      </c>
      <c r="T19" s="37">
        <f>-3*('Matériel'!$D25/12)+3*('Matériel'!$F25*'Matériel'!$H25/12)+S19</f>
        <v>0</v>
      </c>
      <c r="U19" s="37">
        <f>-3*('Matériel'!$D25/12)+3*('Matériel'!$F25*'Matériel'!$H25/12)+T19</f>
        <v>0</v>
      </c>
    </row>
    <row r="20" ht="14.25" customHeight="1">
      <c r="A20" s="37" t="str">
        <f>'Matériel'!B26</f>
        <v/>
      </c>
      <c r="B20" s="37" t="str">
        <f>-'Matériel'!C26-3*('Matériel'!$D26/12)+3*(#REF!*'Matériel'!$H26/12)</f>
        <v>#REF!</v>
      </c>
      <c r="C20" s="37" t="str">
        <f>-3*('Matériel'!$D26/12)+3*(#REF!*'Matériel'!$H26/12)+B20</f>
        <v>#REF!</v>
      </c>
      <c r="D20" s="37" t="str">
        <f>-3*('Matériel'!$D26/12)+3*(#REF!*'Matériel'!$H26/12)+C20</f>
        <v>#REF!</v>
      </c>
      <c r="E20" s="37" t="str">
        <f>-3*('Matériel'!$D26/12)+3*(#REF!*'Matériel'!$H26/12)+D20</f>
        <v>#REF!</v>
      </c>
      <c r="F20" s="37" t="str">
        <f>-3*('Matériel'!$D26/12)+3*(#REF!*'Matériel'!$H26/12)+E20</f>
        <v>#REF!</v>
      </c>
      <c r="G20" s="37" t="str">
        <f>-3*('Matériel'!$D26/12)+3*(#REF!*'Matériel'!$H26/12)+F20</f>
        <v>#REF!</v>
      </c>
      <c r="H20" s="37" t="str">
        <f>-3*('Matériel'!$D26/12)+3*(#REF!*'Matériel'!$H26/12)+G20</f>
        <v>#REF!</v>
      </c>
      <c r="I20" s="37" t="str">
        <f>-3*('Matériel'!$D26/12)+3*(#REF!*'Matériel'!$H26/12)+H20</f>
        <v>#REF!</v>
      </c>
      <c r="J20" s="37" t="str">
        <f>-3*('Matériel'!$D26/12)+3*(#REF!*'Matériel'!$H26/12)+I20</f>
        <v>#REF!</v>
      </c>
      <c r="K20" s="37" t="str">
        <f>-3*('Matériel'!$D26/12)+3*(#REF!*'Matériel'!$H26/12)+J20</f>
        <v>#REF!</v>
      </c>
      <c r="L20" s="37" t="str">
        <f>-3*('Matériel'!$D26/12)+3*(#REF!*'Matériel'!$H26/12)+K20</f>
        <v>#REF!</v>
      </c>
      <c r="M20" s="37" t="str">
        <f>-3*('Matériel'!$D26/12)+3*(#REF!*'Matériel'!$H26/12)+L20</f>
        <v>#REF!</v>
      </c>
      <c r="N20" s="37" t="str">
        <f>-3*('Matériel'!$D26/12)+3*(#REF!*'Matériel'!$H26/12)+M20</f>
        <v>#REF!</v>
      </c>
      <c r="O20" s="37" t="str">
        <f>-3*('Matériel'!$D26/12)+3*(#REF!*'Matériel'!$H26/12)+N20</f>
        <v>#REF!</v>
      </c>
      <c r="P20" s="37" t="str">
        <f>-3*('Matériel'!$D26/12)+3*(#REF!*'Matériel'!$H26/12)+O20</f>
        <v>#REF!</v>
      </c>
      <c r="Q20" s="37" t="str">
        <f>-3*('Matériel'!$D26/12)+3*(#REF!*'Matériel'!$H26/12)+P20</f>
        <v>#REF!</v>
      </c>
      <c r="R20" s="37" t="str">
        <f>-3*('Matériel'!$D26/12)+3*(#REF!*'Matériel'!$H26/12)+Q20</f>
        <v>#REF!</v>
      </c>
      <c r="S20" s="37" t="str">
        <f>-3*('Matériel'!$D26/12)+3*(#REF!*'Matériel'!$H26/12)+R20</f>
        <v>#REF!</v>
      </c>
      <c r="T20" s="37" t="str">
        <f>-3*('Matériel'!$D26/12)+3*(#REF!*'Matériel'!$H26/12)+S20</f>
        <v>#REF!</v>
      </c>
      <c r="U20" s="37" t="str">
        <f>-3*('Matériel'!$D26/12)+3*(#REF!*'Matériel'!$H26/12)+T20</f>
        <v>#REF!</v>
      </c>
    </row>
    <row r="21" ht="14.25" customHeight="1">
      <c r="A21" s="37" t="str">
        <f>'Matériel'!B27</f>
        <v/>
      </c>
      <c r="B21" s="37" t="str">
        <f>-'Matériel'!C27-3*(#REF!/12)+3*(#REF!*'Matériel'!$H27/12)</f>
        <v>#REF!</v>
      </c>
      <c r="C21" s="37" t="str">
        <f>-3*(#REF!/12)+3*(#REF!*'Matériel'!$H27/12)+B21</f>
        <v>#REF!</v>
      </c>
      <c r="D21" s="37" t="str">
        <f>-3*(#REF!/12)+3*(#REF!*'Matériel'!$H27/12)+C21</f>
        <v>#REF!</v>
      </c>
      <c r="E21" s="37" t="str">
        <f>-3*(#REF!/12)+3*(#REF!*'Matériel'!$H27/12)+D21</f>
        <v>#REF!</v>
      </c>
      <c r="F21" s="37" t="str">
        <f>-3*(#REF!/12)+3*(#REF!*'Matériel'!$H27/12)+E21</f>
        <v>#REF!</v>
      </c>
      <c r="G21" s="37" t="str">
        <f>-3*(#REF!/12)+3*(#REF!*'Matériel'!$H27/12)+F21</f>
        <v>#REF!</v>
      </c>
      <c r="H21" s="37" t="str">
        <f>-3*(#REF!/12)+3*(#REF!*'Matériel'!$H27/12)+G21</f>
        <v>#REF!</v>
      </c>
      <c r="I21" s="37" t="str">
        <f>-3*(#REF!/12)+3*(#REF!*'Matériel'!$H27/12)+H21</f>
        <v>#REF!</v>
      </c>
      <c r="J21" s="37" t="str">
        <f>-3*(#REF!/12)+3*(#REF!*'Matériel'!$H27/12)+I21</f>
        <v>#REF!</v>
      </c>
      <c r="K21" s="37" t="str">
        <f>-3*(#REF!/12)+3*(#REF!*'Matériel'!$H27/12)+J21</f>
        <v>#REF!</v>
      </c>
      <c r="L21" s="37" t="str">
        <f>-3*(#REF!/12)+3*(#REF!*'Matériel'!$H27/12)+K21</f>
        <v>#REF!</v>
      </c>
      <c r="M21" s="37" t="str">
        <f>-3*(#REF!/12)+3*(#REF!*'Matériel'!$H27/12)+L21</f>
        <v>#REF!</v>
      </c>
      <c r="N21" s="37" t="str">
        <f>-3*(#REF!/12)+3*(#REF!*'Matériel'!$H27/12)+M21</f>
        <v>#REF!</v>
      </c>
      <c r="O21" s="37" t="str">
        <f>-3*(#REF!/12)+3*(#REF!*'Matériel'!$H27/12)+N21</f>
        <v>#REF!</v>
      </c>
      <c r="P21" s="37" t="str">
        <f>-3*(#REF!/12)+3*(#REF!*'Matériel'!$H27/12)+O21</f>
        <v>#REF!</v>
      </c>
      <c r="Q21" s="37" t="str">
        <f>-3*(#REF!/12)+3*(#REF!*'Matériel'!$H27/12)+P21</f>
        <v>#REF!</v>
      </c>
      <c r="R21" s="37" t="str">
        <f>-3*(#REF!/12)+3*(#REF!*'Matériel'!$H27/12)+Q21</f>
        <v>#REF!</v>
      </c>
      <c r="S21" s="37" t="str">
        <f>-3*(#REF!/12)+3*(#REF!*'Matériel'!$H27/12)+R21</f>
        <v>#REF!</v>
      </c>
      <c r="T21" s="37" t="str">
        <f>-3*(#REF!/12)+3*(#REF!*'Matériel'!$H27/12)+S21</f>
        <v>#REF!</v>
      </c>
      <c r="U21" s="37" t="str">
        <f>-3*(#REF!/12)+3*(#REF!*'Matériel'!$H27/12)+T21</f>
        <v>#REF!</v>
      </c>
    </row>
    <row r="22" ht="14.25" customHeight="1">
      <c r="A22" s="37" t="str">
        <f>'Matériel'!B28</f>
        <v/>
      </c>
      <c r="B22" s="37">
        <f>-'Matériel'!C28-3*('Matériel'!$D27/12)+3*('Matériel'!$F27*'Matériel'!$H28/12)</f>
        <v>0</v>
      </c>
      <c r="C22" s="37">
        <f>-3*('Matériel'!$D27/12)+3*('Matériel'!$F27*'Matériel'!$H28/12)+B22</f>
        <v>0</v>
      </c>
      <c r="D22" s="37">
        <f>-3*('Matériel'!$D27/12)+3*('Matériel'!$F27*'Matériel'!$H28/12)+C22</f>
        <v>0</v>
      </c>
      <c r="E22" s="37">
        <f>-3*('Matériel'!$D27/12)+3*('Matériel'!$F27*'Matériel'!$H28/12)+D22</f>
        <v>0</v>
      </c>
      <c r="F22" s="37">
        <f>-3*('Matériel'!$D27/12)+3*('Matériel'!$F27*'Matériel'!$H28/12)+E22</f>
        <v>0</v>
      </c>
      <c r="G22" s="37">
        <f>-3*('Matériel'!$D27/12)+3*('Matériel'!$F27*'Matériel'!$H28/12)+F22</f>
        <v>0</v>
      </c>
      <c r="H22" s="37">
        <f>-3*('Matériel'!$D27/12)+3*('Matériel'!$F27*'Matériel'!$H28/12)+G22</f>
        <v>0</v>
      </c>
      <c r="I22" s="37">
        <f>-3*('Matériel'!$D27/12)+3*('Matériel'!$F27*'Matériel'!$H28/12)+H22</f>
        <v>0</v>
      </c>
      <c r="J22" s="37">
        <f>-3*('Matériel'!$D27/12)+3*('Matériel'!$F27*'Matériel'!$H28/12)+I22</f>
        <v>0</v>
      </c>
      <c r="K22" s="37">
        <f>-3*('Matériel'!$D27/12)+3*('Matériel'!$F27*'Matériel'!$H28/12)+J22</f>
        <v>0</v>
      </c>
      <c r="L22" s="37">
        <f>-3*('Matériel'!$D27/12)+3*('Matériel'!$F27*'Matériel'!$H28/12)+K22</f>
        <v>0</v>
      </c>
      <c r="M22" s="37">
        <f>-3*('Matériel'!$D27/12)+3*('Matériel'!$F27*'Matériel'!$H28/12)+L22</f>
        <v>0</v>
      </c>
      <c r="N22" s="37">
        <f>-3*('Matériel'!$D27/12)+3*('Matériel'!$F27*'Matériel'!$H28/12)+M22</f>
        <v>0</v>
      </c>
      <c r="O22" s="37">
        <f>-3*('Matériel'!$D27/12)+3*('Matériel'!$F27*'Matériel'!$H28/12)+N22</f>
        <v>0</v>
      </c>
      <c r="P22" s="37">
        <f>-3*('Matériel'!$D27/12)+3*('Matériel'!$F27*'Matériel'!$H28/12)+O22</f>
        <v>0</v>
      </c>
      <c r="Q22" s="37">
        <f>-3*('Matériel'!$D27/12)+3*('Matériel'!$F27*'Matériel'!$H28/12)+P22</f>
        <v>0</v>
      </c>
      <c r="R22" s="37">
        <f>-3*('Matériel'!$D27/12)+3*('Matériel'!$F27*'Matériel'!$H28/12)+Q22</f>
        <v>0</v>
      </c>
      <c r="S22" s="37">
        <f>-3*('Matériel'!$D27/12)+3*('Matériel'!$F27*'Matériel'!$H28/12)+R22</f>
        <v>0</v>
      </c>
      <c r="T22" s="37">
        <f>-3*('Matériel'!$D27/12)+3*('Matériel'!$F27*'Matériel'!$H28/12)+S22</f>
        <v>0</v>
      </c>
      <c r="U22" s="37">
        <f>-3*('Matériel'!$D27/12)+3*('Matériel'!$F27*'Matériel'!$H28/12)+T22</f>
        <v>0</v>
      </c>
    </row>
    <row r="23" ht="14.25" customHeight="1">
      <c r="A23" s="37" t="str">
        <f>'Matériel'!B29</f>
        <v/>
      </c>
      <c r="B23" s="37">
        <f>-'Matériel'!C29-3*('Matériel'!$D28/12)+3*('Matériel'!$F28*'Matériel'!$H29/12)</f>
        <v>0</v>
      </c>
      <c r="C23" s="37">
        <f>-3*('Matériel'!$D28/12)+3*('Matériel'!$F28*'Matériel'!$H29/12)+B23</f>
        <v>0</v>
      </c>
      <c r="D23" s="37">
        <f>-3*('Matériel'!$D28/12)+3*('Matériel'!$F28*'Matériel'!$H29/12)+C23</f>
        <v>0</v>
      </c>
      <c r="E23" s="37">
        <f>-3*('Matériel'!$D28/12)+3*('Matériel'!$F28*'Matériel'!$H29/12)+D23</f>
        <v>0</v>
      </c>
      <c r="F23" s="37">
        <f>-3*('Matériel'!$D28/12)+3*('Matériel'!$F28*'Matériel'!$H29/12)+E23</f>
        <v>0</v>
      </c>
      <c r="G23" s="37">
        <f>-3*('Matériel'!$D28/12)+3*('Matériel'!$F28*'Matériel'!$H29/12)+F23</f>
        <v>0</v>
      </c>
      <c r="H23" s="37">
        <f>-3*('Matériel'!$D28/12)+3*('Matériel'!$F28*'Matériel'!$H29/12)+G23</f>
        <v>0</v>
      </c>
      <c r="I23" s="37">
        <f>-3*('Matériel'!$D28/12)+3*('Matériel'!$F28*'Matériel'!$H29/12)+H23</f>
        <v>0</v>
      </c>
      <c r="J23" s="37">
        <f>-3*('Matériel'!$D28/12)+3*('Matériel'!$F28*'Matériel'!$H29/12)+I23</f>
        <v>0</v>
      </c>
      <c r="K23" s="37">
        <f>-3*('Matériel'!$D28/12)+3*('Matériel'!$F28*'Matériel'!$H29/12)+J23</f>
        <v>0</v>
      </c>
      <c r="L23" s="37">
        <f>-3*('Matériel'!$D28/12)+3*('Matériel'!$F28*'Matériel'!$H29/12)+K23</f>
        <v>0</v>
      </c>
      <c r="M23" s="37">
        <f>-3*('Matériel'!$D28/12)+3*('Matériel'!$F28*'Matériel'!$H29/12)+L23</f>
        <v>0</v>
      </c>
      <c r="N23" s="37">
        <f>-3*('Matériel'!$D28/12)+3*('Matériel'!$F28*'Matériel'!$H29/12)+M23</f>
        <v>0</v>
      </c>
      <c r="O23" s="37">
        <f>-3*('Matériel'!$D28/12)+3*('Matériel'!$F28*'Matériel'!$H29/12)+N23</f>
        <v>0</v>
      </c>
      <c r="P23" s="37">
        <f>-3*('Matériel'!$D28/12)+3*('Matériel'!$F28*'Matériel'!$H29/12)+O23</f>
        <v>0</v>
      </c>
      <c r="Q23" s="37">
        <f>-3*('Matériel'!$D28/12)+3*('Matériel'!$F28*'Matériel'!$H29/12)+P23</f>
        <v>0</v>
      </c>
      <c r="R23" s="37">
        <f>-3*('Matériel'!$D28/12)+3*('Matériel'!$F28*'Matériel'!$H29/12)+Q23</f>
        <v>0</v>
      </c>
      <c r="S23" s="37">
        <f>-3*('Matériel'!$D28/12)+3*('Matériel'!$F28*'Matériel'!$H29/12)+R23</f>
        <v>0</v>
      </c>
      <c r="T23" s="37">
        <f>-3*('Matériel'!$D28/12)+3*('Matériel'!$F28*'Matériel'!$H29/12)+S23</f>
        <v>0</v>
      </c>
      <c r="U23" s="37">
        <f>-3*('Matériel'!$D28/12)+3*('Matériel'!$F28*'Matériel'!$H29/12)+T23</f>
        <v>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B1:U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2025-09-28T12:17:54Z</dcterms:created>
  <dc:creator>Corentin LAMONTAGNE</dc:creator>
</cp:coreProperties>
</file>